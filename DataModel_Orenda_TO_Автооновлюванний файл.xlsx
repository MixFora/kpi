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.sukhovii\Desktop\"/>
    </mc:Choice>
  </mc:AlternateContent>
  <xr:revisionPtr revIDLastSave="0" documentId="13_ncr:1_{76836029-10E3-4711-AA8F-1E316746691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Model_TO" sheetId="2" r:id="rId1"/>
    <sheet name="DataModel_Orenda" sheetId="1" r:id="rId2"/>
    <sheet name="update filid" sheetId="3" r:id="rId3"/>
  </sheets>
  <calcPr calcId="191029"/>
  <pivotCaches>
    <pivotCache cacheId="16" r:id="rId4"/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28" i="2" l="1"/>
  <c r="Q429" i="2"/>
  <c r="Q430" i="2"/>
  <c r="Q431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8" i="2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8" i="1"/>
  <c r="P8" i="1"/>
  <c r="N256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8" i="1"/>
  <c r="M8" i="1"/>
  <c r="P427" i="2"/>
  <c r="P8" i="2"/>
  <c r="P426" i="2"/>
  <c r="O426" i="2"/>
  <c r="O427" i="2"/>
  <c r="N426" i="2"/>
  <c r="N427" i="2"/>
  <c r="M426" i="2"/>
  <c r="M427" i="2"/>
  <c r="O425" i="2"/>
  <c r="M256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P425" i="2"/>
  <c r="P421" i="2"/>
  <c r="P422" i="2"/>
  <c r="P423" i="2"/>
  <c r="P424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N421" i="2"/>
  <c r="N422" i="2"/>
  <c r="N423" i="2"/>
  <c r="N424" i="2"/>
  <c r="N425" i="2"/>
  <c r="M420" i="2"/>
  <c r="M421" i="2"/>
  <c r="M422" i="2"/>
  <c r="M423" i="2"/>
  <c r="M424" i="2"/>
  <c r="M425" i="2"/>
  <c r="O8" i="2"/>
  <c r="M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8" i="2"/>
  <c r="K8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K1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M1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292bf7ee-8a64-43be-8a3e-4848cea1dc6f Model" type="5" refreshedVersion="7" background="1" refreshOnLoad="1">
    <dbPr connection="Provider=MSOLAP.8;Integrated Security=ClaimsToken;Persist Security Info=True;Initial Catalog=sobe_wowvirtualserver-292bf7ee-8a64-43be-8a3e-4848cea1dc6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pbiazure://api.powerbi.com 292bf7ee-8a64-43be-8a3e-4848cea1dc6f Model"/>
    <s v="{[Calendar_].[year].&amp;[2026]}"/>
    <s v="{[Store_directory].[Вид МВВ].[All]}"/>
    <s v="{[Store_directory].[Вид МВВ].&amp;[To go],[Store_directory].[Вид МВВ].&amp;[Project],[Store_directory].[Вид МВВ].&amp;[BaseLine],[Store_directory].[Вид МВВ].&amp;[Project(ToGo)]}"/>
    <s v="{[Orenda_plan_fact].[groupCost].&amp;[Оренда приміщень]}"/>
    <s v="{[Store_directory].[Власність].[All]}"/>
    <s v="{[Store_directory].[Власність].&amp;[оренда],[Store_directory].[Власність].&amp;[ оренда]}"/>
    <s v="{[Orenda_plan_fact].[groupCost].&amp;[Виручка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<sst xmlns="http://schemas.openxmlformats.org/spreadsheetml/2006/main" count="2058" uniqueCount="1244">
  <si>
    <t>2021108100</t>
  </si>
  <si>
    <t>2021108200</t>
  </si>
  <si>
    <t>2021108300</t>
  </si>
  <si>
    <t>2021113400</t>
  </si>
  <si>
    <t>2021114300</t>
  </si>
  <si>
    <t>2021114600</t>
  </si>
  <si>
    <t>2021114900</t>
  </si>
  <si>
    <t>2021115800</t>
  </si>
  <si>
    <t>2021117300</t>
  </si>
  <si>
    <t>2021120700</t>
  </si>
  <si>
    <t>2021121500</t>
  </si>
  <si>
    <t>2021122600</t>
  </si>
  <si>
    <t>2021123000</t>
  </si>
  <si>
    <t>2021124000</t>
  </si>
  <si>
    <t>2021124500</t>
  </si>
  <si>
    <t>2021124600</t>
  </si>
  <si>
    <t>2021125000</t>
  </si>
  <si>
    <t>2021125300</t>
  </si>
  <si>
    <t>2021125900</t>
  </si>
  <si>
    <t>2021126200</t>
  </si>
  <si>
    <t>2021126300</t>
  </si>
  <si>
    <t>2021126500</t>
  </si>
  <si>
    <t>2021127100</t>
  </si>
  <si>
    <t>2021127200</t>
  </si>
  <si>
    <t>2021127400</t>
  </si>
  <si>
    <t>2021127600</t>
  </si>
  <si>
    <t>2021128200</t>
  </si>
  <si>
    <t>2021128300</t>
  </si>
  <si>
    <t>2021128500</t>
  </si>
  <si>
    <t>2021128600</t>
  </si>
  <si>
    <t>2021129000</t>
  </si>
  <si>
    <t>2021129100</t>
  </si>
  <si>
    <t>2021129400</t>
  </si>
  <si>
    <t>2021129500</t>
  </si>
  <si>
    <t>2021129900</t>
  </si>
  <si>
    <t>2021130000</t>
  </si>
  <si>
    <t>2021130400</t>
  </si>
  <si>
    <t>2021130600</t>
  </si>
  <si>
    <t>2021132900</t>
  </si>
  <si>
    <t>2021134300</t>
  </si>
  <si>
    <t>2021137200</t>
  </si>
  <si>
    <t>2021137300</t>
  </si>
  <si>
    <t>2021137800</t>
  </si>
  <si>
    <t>2021139000</t>
  </si>
  <si>
    <t>2021139100</t>
  </si>
  <si>
    <t>2021139200</t>
  </si>
  <si>
    <t>2021139700</t>
  </si>
  <si>
    <t>2021140000</t>
  </si>
  <si>
    <t>2021141000</t>
  </si>
  <si>
    <t>2021142000</t>
  </si>
  <si>
    <t>2021146200</t>
  </si>
  <si>
    <t>2021146300</t>
  </si>
  <si>
    <t>2021146500</t>
  </si>
  <si>
    <t>2021146700</t>
  </si>
  <si>
    <t>2021147200</t>
  </si>
  <si>
    <t>2021147300</t>
  </si>
  <si>
    <t>2021147400</t>
  </si>
  <si>
    <t>2021147500</t>
  </si>
  <si>
    <t>2021148100</t>
  </si>
  <si>
    <t>2021148200</t>
  </si>
  <si>
    <t>2021148800</t>
  </si>
  <si>
    <t>2021148900</t>
  </si>
  <si>
    <t>2021149000</t>
  </si>
  <si>
    <t>2021149200</t>
  </si>
  <si>
    <t>2021149300</t>
  </si>
  <si>
    <t>2021149400</t>
  </si>
  <si>
    <t>2021149500</t>
  </si>
  <si>
    <t>2021150500</t>
  </si>
  <si>
    <t>2021201400</t>
  </si>
  <si>
    <t>2021201500</t>
  </si>
  <si>
    <t>2021201600</t>
  </si>
  <si>
    <t>2021201700</t>
  </si>
  <si>
    <t>2021201900</t>
  </si>
  <si>
    <t>2021202000</t>
  </si>
  <si>
    <t>2021202300</t>
  </si>
  <si>
    <t>2021202800</t>
  </si>
  <si>
    <t>2021202900</t>
  </si>
  <si>
    <t>2021300900</t>
  </si>
  <si>
    <t>2021301200</t>
  </si>
  <si>
    <t>2021301300</t>
  </si>
  <si>
    <t>2021301400</t>
  </si>
  <si>
    <t>2021301700</t>
  </si>
  <si>
    <t>2021301900</t>
  </si>
  <si>
    <t>2021401200</t>
  </si>
  <si>
    <t>2021401600</t>
  </si>
  <si>
    <t>2021501000</t>
  </si>
  <si>
    <t>2021501100</t>
  </si>
  <si>
    <t>2021501200</t>
  </si>
  <si>
    <t>2021501400</t>
  </si>
  <si>
    <t>2022102300</t>
  </si>
  <si>
    <t>2022102500</t>
  </si>
  <si>
    <t>2022400300</t>
  </si>
  <si>
    <t>2022800800</t>
  </si>
  <si>
    <t>2022800900</t>
  </si>
  <si>
    <t>2027104800</t>
  </si>
  <si>
    <t>2027105000</t>
  </si>
  <si>
    <t>2027105100</t>
  </si>
  <si>
    <t>2027105200</t>
  </si>
  <si>
    <t>Загальний підсумок</t>
  </si>
  <si>
    <t>Fact</t>
  </si>
  <si>
    <t>groupCost</t>
  </si>
  <si>
    <t>year</t>
  </si>
  <si>
    <t>Код МВВ</t>
  </si>
  <si>
    <t>2021100500</t>
  </si>
  <si>
    <t>2021100700</t>
  </si>
  <si>
    <t>2021100800</t>
  </si>
  <si>
    <t>2021101000</t>
  </si>
  <si>
    <t>2021101300</t>
  </si>
  <si>
    <t>2021101500</t>
  </si>
  <si>
    <t>2021101600</t>
  </si>
  <si>
    <t>2021101900</t>
  </si>
  <si>
    <t>2021102000</t>
  </si>
  <si>
    <t>2021102400</t>
  </si>
  <si>
    <t>2021102900</t>
  </si>
  <si>
    <t>2021103000</t>
  </si>
  <si>
    <t>2021103300</t>
  </si>
  <si>
    <t>2021103800</t>
  </si>
  <si>
    <t>2021104300</t>
  </si>
  <si>
    <t>2021104400</t>
  </si>
  <si>
    <t>2021105500</t>
  </si>
  <si>
    <t>2021106300</t>
  </si>
  <si>
    <t>2021106600</t>
  </si>
  <si>
    <t>2021107300</t>
  </si>
  <si>
    <t>2021111000</t>
  </si>
  <si>
    <t>2021112000</t>
  </si>
  <si>
    <t>2021112900</t>
  </si>
  <si>
    <t>2021113000</t>
  </si>
  <si>
    <t>2021113100</t>
  </si>
  <si>
    <t>2021113300</t>
  </si>
  <si>
    <t>2021113700</t>
  </si>
  <si>
    <t>2021113800</t>
  </si>
  <si>
    <t>2021114200</t>
  </si>
  <si>
    <t>2021114400</t>
  </si>
  <si>
    <t>2021114500</t>
  </si>
  <si>
    <t>2021115200</t>
  </si>
  <si>
    <t>2021115400</t>
  </si>
  <si>
    <t>2021115600</t>
  </si>
  <si>
    <t>2021115700</t>
  </si>
  <si>
    <t>2021115900</t>
  </si>
  <si>
    <t>2021116100</t>
  </si>
  <si>
    <t>2021116700</t>
  </si>
  <si>
    <t>2021116800</t>
  </si>
  <si>
    <t>2021117000</t>
  </si>
  <si>
    <t>2021117500</t>
  </si>
  <si>
    <t>2021118000</t>
  </si>
  <si>
    <t>2021118200</t>
  </si>
  <si>
    <t>2021118500</t>
  </si>
  <si>
    <t>2021118600</t>
  </si>
  <si>
    <t>2021118700</t>
  </si>
  <si>
    <t>2021118800</t>
  </si>
  <si>
    <t>2021118900</t>
  </si>
  <si>
    <t>2021119000</t>
  </si>
  <si>
    <t>2021119100</t>
  </si>
  <si>
    <t>2021119200</t>
  </si>
  <si>
    <t>2021119400</t>
  </si>
  <si>
    <t>2021120000</t>
  </si>
  <si>
    <t>2021120100</t>
  </si>
  <si>
    <t>2021120200</t>
  </si>
  <si>
    <t>2021120300</t>
  </si>
  <si>
    <t>2021120800</t>
  </si>
  <si>
    <t>2021121000</t>
  </si>
  <si>
    <t>2021121100</t>
  </si>
  <si>
    <t>2021121300</t>
  </si>
  <si>
    <t>2021121900</t>
  </si>
  <si>
    <t>2021122200</t>
  </si>
  <si>
    <t>2021122300</t>
  </si>
  <si>
    <t>2021122700</t>
  </si>
  <si>
    <t>2021122800</t>
  </si>
  <si>
    <t>2021122900</t>
  </si>
  <si>
    <t>2021123100</t>
  </si>
  <si>
    <t>2021123400</t>
  </si>
  <si>
    <t>2021123500</t>
  </si>
  <si>
    <t>2021123600</t>
  </si>
  <si>
    <t>2021124200</t>
  </si>
  <si>
    <t>2021124700</t>
  </si>
  <si>
    <t>2021124900</t>
  </si>
  <si>
    <t>2021125700</t>
  </si>
  <si>
    <t>2021125800</t>
  </si>
  <si>
    <t>2021126400</t>
  </si>
  <si>
    <t>2021126600</t>
  </si>
  <si>
    <t>2021126700</t>
  </si>
  <si>
    <t>2021126800</t>
  </si>
  <si>
    <t>2021127000</t>
  </si>
  <si>
    <t>2021127900</t>
  </si>
  <si>
    <t>2021128400</t>
  </si>
  <si>
    <t>2021128800</t>
  </si>
  <si>
    <t>2021132800</t>
  </si>
  <si>
    <t>2021133700</t>
  </si>
  <si>
    <t>2021136900</t>
  </si>
  <si>
    <t>2021137400</t>
  </si>
  <si>
    <t>2021137500</t>
  </si>
  <si>
    <t>2021137600</t>
  </si>
  <si>
    <t>2021138100</t>
  </si>
  <si>
    <t>2021138200</t>
  </si>
  <si>
    <t>2021138300</t>
  </si>
  <si>
    <t>2021138400</t>
  </si>
  <si>
    <t>2021138800</t>
  </si>
  <si>
    <t>2021139900</t>
  </si>
  <si>
    <t>2021143000</t>
  </si>
  <si>
    <t>2021145000</t>
  </si>
  <si>
    <t>2021146100</t>
  </si>
  <si>
    <t>2021146400</t>
  </si>
  <si>
    <t>2021146600</t>
  </si>
  <si>
    <t>2021147000</t>
  </si>
  <si>
    <t>2021147100</t>
  </si>
  <si>
    <t>2021147800</t>
  </si>
  <si>
    <t>2021147900</t>
  </si>
  <si>
    <t>2021148600</t>
  </si>
  <si>
    <t>2021148700</t>
  </si>
  <si>
    <t>2021149100</t>
  </si>
  <si>
    <t>2021150100</t>
  </si>
  <si>
    <t>20211A2525</t>
  </si>
  <si>
    <t>20211I0218</t>
  </si>
  <si>
    <t>20211RC016</t>
  </si>
  <si>
    <t>20211RC026</t>
  </si>
  <si>
    <t>2021200600</t>
  </si>
  <si>
    <t>2021200700</t>
  </si>
  <si>
    <t>2021200800</t>
  </si>
  <si>
    <t>2021200900</t>
  </si>
  <si>
    <t>2021201000</t>
  </si>
  <si>
    <t>2021201300</t>
  </si>
  <si>
    <t>2021201800</t>
  </si>
  <si>
    <t>2021202100</t>
  </si>
  <si>
    <t>2021300400</t>
  </si>
  <si>
    <t>2021300500</t>
  </si>
  <si>
    <t>2021300600</t>
  </si>
  <si>
    <t>2021300700</t>
  </si>
  <si>
    <t>2021301100</t>
  </si>
  <si>
    <t>2021400500</t>
  </si>
  <si>
    <t>2021400700</t>
  </si>
  <si>
    <t>2021401300</t>
  </si>
  <si>
    <t>2021401400</t>
  </si>
  <si>
    <t>2021401700</t>
  </si>
  <si>
    <t>2021500100</t>
  </si>
  <si>
    <t>2021500200</t>
  </si>
  <si>
    <t>2021500800</t>
  </si>
  <si>
    <t>2021500900</t>
  </si>
  <si>
    <t>2021501300</t>
  </si>
  <si>
    <t>2021501500</t>
  </si>
  <si>
    <t>2021501600</t>
  </si>
  <si>
    <t>2021502000</t>
  </si>
  <si>
    <t>2021502200</t>
  </si>
  <si>
    <t>2022102400</t>
  </si>
  <si>
    <t>2022102600</t>
  </si>
  <si>
    <t>2022102800</t>
  </si>
  <si>
    <t>2022102900</t>
  </si>
  <si>
    <t>2022300100</t>
  </si>
  <si>
    <t>2022300200</t>
  </si>
  <si>
    <t>2022800100</t>
  </si>
  <si>
    <t>2022800700</t>
  </si>
  <si>
    <t>2025400500</t>
  </si>
  <si>
    <t>2025400600</t>
  </si>
  <si>
    <t>2025500300</t>
  </si>
  <si>
    <t>2027100300</t>
  </si>
  <si>
    <t>2027100600</t>
  </si>
  <si>
    <t>2027100900</t>
  </si>
  <si>
    <t>2027101100</t>
  </si>
  <si>
    <t>2027101500</t>
  </si>
  <si>
    <t>2027101700</t>
  </si>
  <si>
    <t>2027102100</t>
  </si>
  <si>
    <t>2027102300</t>
  </si>
  <si>
    <t>2027102800</t>
  </si>
  <si>
    <t>2027102900</t>
  </si>
  <si>
    <t>2027103000</t>
  </si>
  <si>
    <t>2027103100</t>
  </si>
  <si>
    <t>2027103600</t>
  </si>
  <si>
    <t>2027104000</t>
  </si>
  <si>
    <t>2027104600</t>
  </si>
  <si>
    <t>2027104700</t>
  </si>
  <si>
    <t>2027104900</t>
  </si>
  <si>
    <t>2027105300</t>
  </si>
  <si>
    <t>2027105400</t>
  </si>
  <si>
    <t>2027105500</t>
  </si>
  <si>
    <t>2027108600</t>
  </si>
  <si>
    <t>2027108700</t>
  </si>
  <si>
    <t>2021100100</t>
  </si>
  <si>
    <t>2021100200</t>
  </si>
  <si>
    <t>2021100300</t>
  </si>
  <si>
    <t>2021101100</t>
  </si>
  <si>
    <t>2021101400</t>
  </si>
  <si>
    <t>2021102500</t>
  </si>
  <si>
    <t>2021102600</t>
  </si>
  <si>
    <t>2021105400</t>
  </si>
  <si>
    <t>2021105600</t>
  </si>
  <si>
    <t>2021106100</t>
  </si>
  <si>
    <t>2021106200</t>
  </si>
  <si>
    <t>2021106400</t>
  </si>
  <si>
    <t>2021106500</t>
  </si>
  <si>
    <t>2021106801</t>
  </si>
  <si>
    <t>2021107100</t>
  </si>
  <si>
    <t>2021107400</t>
  </si>
  <si>
    <t>2021107600</t>
  </si>
  <si>
    <t>2021107800</t>
  </si>
  <si>
    <t>2021107900</t>
  </si>
  <si>
    <t>2021108000</t>
  </si>
  <si>
    <t>2021111200</t>
  </si>
  <si>
    <t>2021111300</t>
  </si>
  <si>
    <t>2021111400</t>
  </si>
  <si>
    <t>2021111700</t>
  </si>
  <si>
    <t>2021111900</t>
  </si>
  <si>
    <t>2021112100</t>
  </si>
  <si>
    <t>2021112300</t>
  </si>
  <si>
    <t>2021112400</t>
  </si>
  <si>
    <t>2021112600</t>
  </si>
  <si>
    <t>2021113900</t>
  </si>
  <si>
    <t>2021114100</t>
  </si>
  <si>
    <t>2021114700</t>
  </si>
  <si>
    <t>2021114800</t>
  </si>
  <si>
    <t>2021116000</t>
  </si>
  <si>
    <t>2021117200</t>
  </si>
  <si>
    <t>2021117600</t>
  </si>
  <si>
    <t>2021117800</t>
  </si>
  <si>
    <t>2021117900</t>
  </si>
  <si>
    <t>2021118100</t>
  </si>
  <si>
    <t>2021118300</t>
  </si>
  <si>
    <t>2021118400</t>
  </si>
  <si>
    <t>2021120400</t>
  </si>
  <si>
    <t>2021120500</t>
  </si>
  <si>
    <t>2021120600</t>
  </si>
  <si>
    <t>2021120900</t>
  </si>
  <si>
    <t>2021121600</t>
  </si>
  <si>
    <t>2021122000</t>
  </si>
  <si>
    <t>2021122100</t>
  </si>
  <si>
    <t>2021122500</t>
  </si>
  <si>
    <t>2021123200</t>
  </si>
  <si>
    <t>2021123300</t>
  </si>
  <si>
    <t>2021123700</t>
  </si>
  <si>
    <t>2021123800</t>
  </si>
  <si>
    <t>2021124100</t>
  </si>
  <si>
    <t>2021124800</t>
  </si>
  <si>
    <t>2021125400</t>
  </si>
  <si>
    <t>2021125500</t>
  </si>
  <si>
    <t>2021125600</t>
  </si>
  <si>
    <t>2021126900</t>
  </si>
  <si>
    <t>2021127700</t>
  </si>
  <si>
    <t>2021127800</t>
  </si>
  <si>
    <t>2021128000</t>
  </si>
  <si>
    <t>2021128100</t>
  </si>
  <si>
    <t>2021128900</t>
  </si>
  <si>
    <t>2021129200</t>
  </si>
  <si>
    <t>2021129300</t>
  </si>
  <si>
    <t>2021129600</t>
  </si>
  <si>
    <t>2021129700</t>
  </si>
  <si>
    <t>2021129800</t>
  </si>
  <si>
    <t>2021130100</t>
  </si>
  <si>
    <t>2021130200</t>
  </si>
  <si>
    <t>2021130300</t>
  </si>
  <si>
    <t>2021130700</t>
  </si>
  <si>
    <t>2021130800</t>
  </si>
  <si>
    <t>2021130900</t>
  </si>
  <si>
    <t>2021131000</t>
  </si>
  <si>
    <t>2021131100</t>
  </si>
  <si>
    <t>2021131200</t>
  </si>
  <si>
    <t>2021131300</t>
  </si>
  <si>
    <t>2021131400</t>
  </si>
  <si>
    <t>2021131500</t>
  </si>
  <si>
    <t>2021131600</t>
  </si>
  <si>
    <t>2021131700</t>
  </si>
  <si>
    <t>2021131800</t>
  </si>
  <si>
    <t>2021131900</t>
  </si>
  <si>
    <t>2021132000</t>
  </si>
  <si>
    <t>2021132100</t>
  </si>
  <si>
    <t>2021132200</t>
  </si>
  <si>
    <t>2021132400</t>
  </si>
  <si>
    <t>2021132500</t>
  </si>
  <si>
    <t>2021132600</t>
  </si>
  <si>
    <t>2021132700</t>
  </si>
  <si>
    <t>2021133000</t>
  </si>
  <si>
    <t>2021133100</t>
  </si>
  <si>
    <t>2021133200</t>
  </si>
  <si>
    <t>2021133300</t>
  </si>
  <si>
    <t>2021133400</t>
  </si>
  <si>
    <t>2021133500</t>
  </si>
  <si>
    <t>2021133600</t>
  </si>
  <si>
    <t>2021133800</t>
  </si>
  <si>
    <t>2021133900</t>
  </si>
  <si>
    <t>2021134000</t>
  </si>
  <si>
    <t>2021134100</t>
  </si>
  <si>
    <t>2021134200</t>
  </si>
  <si>
    <t>2021134400</t>
  </si>
  <si>
    <t>2021134500</t>
  </si>
  <si>
    <t>2021134700</t>
  </si>
  <si>
    <t>2021134900</t>
  </si>
  <si>
    <t>2021135000</t>
  </si>
  <si>
    <t>2021135200</t>
  </si>
  <si>
    <t>2021135300</t>
  </si>
  <si>
    <t>2021135400</t>
  </si>
  <si>
    <t>2021135500</t>
  </si>
  <si>
    <t>2021135600</t>
  </si>
  <si>
    <t>2021135800</t>
  </si>
  <si>
    <t>2021136000</t>
  </si>
  <si>
    <t>2021136200</t>
  </si>
  <si>
    <t>2021136400</t>
  </si>
  <si>
    <t>2021136500</t>
  </si>
  <si>
    <t>2021136600</t>
  </si>
  <si>
    <t>2021136700</t>
  </si>
  <si>
    <t>2021136800</t>
  </si>
  <si>
    <t>2021137000</t>
  </si>
  <si>
    <t>2021137700</t>
  </si>
  <si>
    <t>2021139600</t>
  </si>
  <si>
    <t>2021147700</t>
  </si>
  <si>
    <t>2021148000</t>
  </si>
  <si>
    <t>2021148500</t>
  </si>
  <si>
    <t>2021149800</t>
  </si>
  <si>
    <t>2021149900</t>
  </si>
  <si>
    <t>2021150200</t>
  </si>
  <si>
    <t>2021150300</t>
  </si>
  <si>
    <t>2021150400</t>
  </si>
  <si>
    <t>2021195500</t>
  </si>
  <si>
    <t>2021301500</t>
  </si>
  <si>
    <t>2021400300</t>
  </si>
  <si>
    <t>2021500700</t>
  </si>
  <si>
    <t>2027100200</t>
  </si>
  <si>
    <t>2027100700</t>
  </si>
  <si>
    <t>(кілька елементів)</t>
  </si>
  <si>
    <t>2021150600</t>
  </si>
  <si>
    <t>2021202600</t>
  </si>
  <si>
    <t>2022102700</t>
  </si>
  <si>
    <t>2026</t>
  </si>
  <si>
    <t>All</t>
  </si>
  <si>
    <t>Вид МВВ</t>
  </si>
  <si>
    <t>Оренда приміщень</t>
  </si>
  <si>
    <t>13.04.2020</t>
  </si>
  <si>
    <t>18.12.2021</t>
  </si>
  <si>
    <t>24.11.2023</t>
  </si>
  <si>
    <t>29.03.2024</t>
  </si>
  <si>
    <t>02.05.2024</t>
  </si>
  <si>
    <t>04.07.2024</t>
  </si>
  <si>
    <t>27.09.2024</t>
  </si>
  <si>
    <t>26.12.2024</t>
  </si>
  <si>
    <t>04.09.2025</t>
  </si>
  <si>
    <t>Назва магазину</t>
  </si>
  <si>
    <t>Київ,Фора-008 Котляревського,2</t>
  </si>
  <si>
    <t>Київ,Фора-010 Малишка,15/1</t>
  </si>
  <si>
    <t>Київ,Фора-018 Голосіївський,104</t>
  </si>
  <si>
    <t>Київ,Фора-017 Миропільська,1</t>
  </si>
  <si>
    <t>Київ,Фора-019 Верховної Ради,27</t>
  </si>
  <si>
    <t>Київ,Фора-022 Воскресенський,14</t>
  </si>
  <si>
    <t>Київ,Фора-027 Вірського,6А</t>
  </si>
  <si>
    <t>Київ,Фора-033 Зодчих,52</t>
  </si>
  <si>
    <t>Київ,Фора-068 Білецького,11</t>
  </si>
  <si>
    <t>БЦерква,Фора-476 Незалежності,57</t>
  </si>
  <si>
    <t>Київ,Фора-477 Бальзака,85</t>
  </si>
  <si>
    <t>Українка,Фора-480 Соснова,5А</t>
  </si>
  <si>
    <t>Київ,Фора-386 Чавдар,32</t>
  </si>
  <si>
    <t>Конотоп,Фора-102 Лазаревського,12</t>
  </si>
  <si>
    <t>Немішаєве,Фора-103 Заводська,49А</t>
  </si>
  <si>
    <t>Київ,Фора-105 Руденка,7Б</t>
  </si>
  <si>
    <t>Рокитне,Фора-111 Першотравнева,11</t>
  </si>
  <si>
    <t>Бориспіль,Фора-108 Київський шлях,100</t>
  </si>
  <si>
    <t>Київ,Фора-115 Руденка,24</t>
  </si>
  <si>
    <t>Київ,Фора-116 Європейського Союзу,94</t>
  </si>
  <si>
    <t>Київ,Фора-117 Новомостицька,2</t>
  </si>
  <si>
    <t>Київ,Фора-118 Березняківська,36А</t>
  </si>
  <si>
    <t>Київ,Фора-121 Глушкова,31А</t>
  </si>
  <si>
    <t>Вишневе,Фора-124 Святошинська,40</t>
  </si>
  <si>
    <t>Буча,Фора-130 Яблунська,203Б</t>
  </si>
  <si>
    <t>Київ,Фора-131 Борщагівська,212</t>
  </si>
  <si>
    <t>Узин,Фора-132 Богуна,21А</t>
  </si>
  <si>
    <t>Київ,Фора-154 Кустанайська,10</t>
  </si>
  <si>
    <t>Бахмач,Фора-156 Мудрого,24</t>
  </si>
  <si>
    <t>Київ,Фора-158 Бекешкіної,12</t>
  </si>
  <si>
    <t>Київ,Фора-165 Жуля Верна,7</t>
  </si>
  <si>
    <t>Тетіїв,Фора-185 Соборна,19</t>
  </si>
  <si>
    <t>Бориспіль,Фора-197 Київський шлях,90</t>
  </si>
  <si>
    <t>Київ,Фора-199 Миропільська,11</t>
  </si>
  <si>
    <t>БЦерква,Фора-202 Павліченко,63</t>
  </si>
  <si>
    <t>Київ,Фора-210 Ревуцького,26</t>
  </si>
  <si>
    <t>Київ,Фора-211 Драгоманова,19</t>
  </si>
  <si>
    <t>Київ,Фора-217 Світлицького,26Б</t>
  </si>
  <si>
    <t>Київ,Фора-218 Тампере,12</t>
  </si>
  <si>
    <t>Бровари,Фора-223 Шевченка,10В</t>
  </si>
  <si>
    <t>Ржищів,Фора-231 Соборна,23</t>
  </si>
  <si>
    <t>Київ,Фора-236 Закревського,87</t>
  </si>
  <si>
    <t>Козин,Фора-240 Солов'яненка,60</t>
  </si>
  <si>
    <t>Київ,Фора-243 Печенізька,1/7А</t>
  </si>
  <si>
    <t>Київ,Фора-244 Гетьмана,34</t>
  </si>
  <si>
    <t>Київ,Фора-245 Борщагівська,128</t>
  </si>
  <si>
    <t>Бориспіль,Фора-246 Калмикова,2</t>
  </si>
  <si>
    <t>Кагарлик,Фора-247 Незалежності,14</t>
  </si>
  <si>
    <t>Київ,Фора-250 Ружинська,26/41</t>
  </si>
  <si>
    <t>Бородянка,Фора-252 Паркова,2</t>
  </si>
  <si>
    <t>Бровари,Фора-259 Київська,92</t>
  </si>
  <si>
    <t>Київ,Фора-262 Науки,88</t>
  </si>
  <si>
    <t>Київ,Фора-263 Воробйова,11</t>
  </si>
  <si>
    <t>Київ,Фора-264 Зодчих,16</t>
  </si>
  <si>
    <t>Київ,Фора-266 Метрологічна,14Б</t>
  </si>
  <si>
    <t>Київ,Фора-267 Дніпроводська,7</t>
  </si>
  <si>
    <t>Київ,Фора-270 Вереснева,24</t>
  </si>
  <si>
    <t>Київ,Фора-275 Броварський,51</t>
  </si>
  <si>
    <t>Київ,Фора-277 Якуба Коласа,25</t>
  </si>
  <si>
    <t>Гоголів,Фора-280 Київська,167Г</t>
  </si>
  <si>
    <t>Київ,Фора-281 Кирилівська,122/1</t>
  </si>
  <si>
    <t>Київ,Фора-282 Ентузіастів,7</t>
  </si>
  <si>
    <t>Буча,Фора-283 Склозаводська,10Б</t>
  </si>
  <si>
    <t>Київ,Фора-285 Єфремова,8А</t>
  </si>
  <si>
    <t>Київ,Фора-286 Бучми,6А</t>
  </si>
  <si>
    <t>Гора,Фора-293 Калинова,2</t>
  </si>
  <si>
    <t>Київ,Фора-297 Верхогляда,2А</t>
  </si>
  <si>
    <t>Ставище,Фора-303 Паркова,4</t>
  </si>
  <si>
    <t>Київ,Фора-304 Заболотного,128А</t>
  </si>
  <si>
    <t>Ірпінь,Фора-305 Центральна,29</t>
  </si>
  <si>
    <t>Київ,Фора-306 Тичини,15А</t>
  </si>
  <si>
    <t>Київ,Фора-308 Пулюя,5</t>
  </si>
  <si>
    <t>Клавдієво-Тарасов,Фора-310 Центральна,2Ж</t>
  </si>
  <si>
    <t>Калита,Фора-315 Миру,45</t>
  </si>
  <si>
    <t>СофБорщагівка,Фора-319 Сагайдачного,20А</t>
  </si>
  <si>
    <t>Ірпінь,Фора-320 Університетська,2Ф/3</t>
  </si>
  <si>
    <t>Коцюбинське,Фора-324 Доківська,14/1</t>
  </si>
  <si>
    <t>Славутич,Фора-349 Поліський квартал,60</t>
  </si>
  <si>
    <t>Бориспіль,Фора-357 Київський шлях,14Ж</t>
  </si>
  <si>
    <t>Київ,Фора-364 Тираспольська,56</t>
  </si>
  <si>
    <t>Київ,Фора-394 Лесі Українки,28</t>
  </si>
  <si>
    <t>Фастів,Фора-398 Мазепи,6</t>
  </si>
  <si>
    <t>Київ,Фора-399 Науки,58В</t>
  </si>
  <si>
    <t>Боярка,Фора-400 Франка,101А</t>
  </si>
  <si>
    <t>Вишневе,Фора-401 Машинобудівників,11А</t>
  </si>
  <si>
    <t>Київ,Фора-402 Юнкерова,92А</t>
  </si>
  <si>
    <t>СофБорщагівка,Фора-404 Небесної Сотні,38</t>
  </si>
  <si>
    <t>Київ,Фора-408 Зарічна,6</t>
  </si>
  <si>
    <t>Київ,Фора-409 Лютеранська,3</t>
  </si>
  <si>
    <t>Київ,Фора-410 Преображенська,28</t>
  </si>
  <si>
    <t>Київ,Фора-411 Гавела Вацлава,4</t>
  </si>
  <si>
    <t>Київ,Фора-416 Донецька,8А</t>
  </si>
  <si>
    <t>Київ,Фора-418 Берестейський,60</t>
  </si>
  <si>
    <t>БЦерква,Фора-420 Олександрійський,58Г</t>
  </si>
  <si>
    <t>Біла Церква,Фора-421 Шевченка,87</t>
  </si>
  <si>
    <t>Київ,Фора-428 Чорновола,27</t>
  </si>
  <si>
    <t>Володарка,Фора-430 Миру,5</t>
  </si>
  <si>
    <t>Ірпінь,Фора-462 Антонова,6</t>
  </si>
  <si>
    <t>Київ,Фора-463 Івасюка,39В</t>
  </si>
  <si>
    <t>Київ,Фора-464 Оболонський,51В</t>
  </si>
  <si>
    <t>Київ,Фора-465 Парково-Сирецька,1</t>
  </si>
  <si>
    <t>Київ,Фора-469 Шухевича,12</t>
  </si>
  <si>
    <t>Київ,Фора-489 Братства Тарасівців,3</t>
  </si>
  <si>
    <t>Київ,Фора-490 Повітряних Сил,44</t>
  </si>
  <si>
    <t>Обухів,Фора-491 Каштанова,6/1</t>
  </si>
  <si>
    <t>Київ,Фора-495 Оболонський,26</t>
  </si>
  <si>
    <t>Київ,Фора-496 Біличанська,1</t>
  </si>
  <si>
    <t>Київ,Фора-499 Йорданська,10</t>
  </si>
  <si>
    <t>Іванковичі,Фора-561 Соборна,10Ц</t>
  </si>
  <si>
    <t>Згурівка,Фора-501 Центральна,4</t>
  </si>
  <si>
    <t>Буча,Фора-514 Гмирі,7Б</t>
  </si>
  <si>
    <t>Нове,Фора-519 Крушельницької,1</t>
  </si>
  <si>
    <t>Бишів,Фора-516 Київська,54</t>
  </si>
  <si>
    <t>СофБорщагівка,Фора-506 Житня,12</t>
  </si>
  <si>
    <t>Київ,Фора-507 Князя Мономаха,31</t>
  </si>
  <si>
    <t>Київ,Фора-521 Зодчих,62</t>
  </si>
  <si>
    <t>Київ,Фора-522 Миру,4</t>
  </si>
  <si>
    <t>Ржищів,Фора-525 Київський Шлях,1</t>
  </si>
  <si>
    <t>Київ,Фора-527 Маланюка Євгена,101</t>
  </si>
  <si>
    <t>Київ,Фора-532 Олени Теліги,31/1</t>
  </si>
  <si>
    <t>Київ,Фора-533 Преображенська,7</t>
  </si>
  <si>
    <t>Київ,Фора-577 Єфремова,23</t>
  </si>
  <si>
    <t>Київ,Фора-540 Столичне шосе,1 П-10</t>
  </si>
  <si>
    <t>Київ,Фора-567 Дмитрівська,96/98</t>
  </si>
  <si>
    <t>Київ,Фора-558 Вірського,37</t>
  </si>
  <si>
    <t>Київ,Фора-543 Ревуцького,52</t>
  </si>
  <si>
    <t>Ірпінь,Фора-544 Котляревського,56</t>
  </si>
  <si>
    <t>Рокитне,Фора-564 Вокзальна,68Б</t>
  </si>
  <si>
    <t>Житомир,Фора-536 Київська,106</t>
  </si>
  <si>
    <t>Київ,Фора-548 Райдужна,67</t>
  </si>
  <si>
    <t>Київ,Фора-574 Чибінєєвих Братів,8А</t>
  </si>
  <si>
    <t>Крюківщина,Фора-580 Володимирська,1</t>
  </si>
  <si>
    <t>Бердичів,Фора-110 Вінницька,18</t>
  </si>
  <si>
    <t>Коростень,Фора-135 Грушевського,34</t>
  </si>
  <si>
    <t>Бердичів,Фора-142 Привокзальна,1А</t>
  </si>
  <si>
    <t>Звягель,Фора-159 Київська,6</t>
  </si>
  <si>
    <t>Звягель,Фора-160 Герасимчука,1</t>
  </si>
  <si>
    <t>Овруч,Фора-385 Богуна,8В</t>
  </si>
  <si>
    <t>Брусилів,Фора-390 Іларіона,20</t>
  </si>
  <si>
    <t>Попільня,Фора-395 Шайдюка,5А</t>
  </si>
  <si>
    <t>Житомир,Фора-414 Лятошинського,2</t>
  </si>
  <si>
    <t>Житомир,Фора-468 Кибальчича,9</t>
  </si>
  <si>
    <t>Бердичів,Фора-473 Європейська, 5/7</t>
  </si>
  <si>
    <t>Чуднів,Фора-494 Героїв Майдану,156</t>
  </si>
  <si>
    <t>Житомир,Фора-498 Сльоти,60а</t>
  </si>
  <si>
    <t>Коростень,Фора-513 Базарна площа,18В</t>
  </si>
  <si>
    <t>Ружин,Фора-530 Незалежності,9/1</t>
  </si>
  <si>
    <t>Боярка,Фора-549 Гоголя,50Б</t>
  </si>
  <si>
    <t>Козин,Фора-555 Партизанська,2Д</t>
  </si>
  <si>
    <t>Бердичів,Фора-553 Вінницька,71</t>
  </si>
  <si>
    <t>Борзна,Фора-100 Шевченка,16</t>
  </si>
  <si>
    <t>Ніжин,Фора-127 Шевченка,20</t>
  </si>
  <si>
    <t>Бахмач,Фора-137 Соборності,62Б</t>
  </si>
  <si>
    <t>Козелець,Фора-179 Соборності,53/1</t>
  </si>
  <si>
    <t>Бобровиця,Фора-241 Незалежності,40А</t>
  </si>
  <si>
    <t>Городня,Фора-242 Чернігівська,26А</t>
  </si>
  <si>
    <t>Ніжин,Фора-295 Батюка,9</t>
  </si>
  <si>
    <t>Чернігів,Фора-538 Миру,68</t>
  </si>
  <si>
    <t>Корюківка,Фора-541 Шевченка,73А</t>
  </si>
  <si>
    <t>Звенигородка,Фора-481 Грушевського,140</t>
  </si>
  <si>
    <t>Маньківка,Фора-470 Соборна,12</t>
  </si>
  <si>
    <t>Корс-Шевченківськ,Фора-484 Гер Майдану,7</t>
  </si>
  <si>
    <t>Шпола,Фора-524 Соборна,33</t>
  </si>
  <si>
    <t>Гельмязів,Фора-534 Центральна,6</t>
  </si>
  <si>
    <t>Умань,Фора-575 Захисників України,21Б</t>
  </si>
  <si>
    <t>Золотоноша,Фора-579 Шевченка,76Б</t>
  </si>
  <si>
    <t>Гайсин,Фора-201 1-го Травня,70А</t>
  </si>
  <si>
    <t>Ладижин,Фора-213 Будівельників,15А</t>
  </si>
  <si>
    <t>Погребище,Фора-535 Хмельницького,107</t>
  </si>
  <si>
    <t>Вінниця,Фора-475 Чорновола,29Б</t>
  </si>
  <si>
    <t>Вінниця,Фора-478 600-річчя,17</t>
  </si>
  <si>
    <t>Вінниця,Фора-479 Коцюбинського,2А</t>
  </si>
  <si>
    <t>Хмільник,Фора-482 Свободи,21Б</t>
  </si>
  <si>
    <t>Тульчин,Фора-488 Леонтовича,50</t>
  </si>
  <si>
    <t>Літин,Фора-492 Соборна,22</t>
  </si>
  <si>
    <t>Летичів,Фора-493 Шевченка,1А</t>
  </si>
  <si>
    <t>Іллінці,Фора-542 Європейська,22</t>
  </si>
  <si>
    <t>Гнівань,Фора-518 Соборна,45</t>
  </si>
  <si>
    <t>Теплик,Фора-503 Незалежності,28</t>
  </si>
  <si>
    <t>Рівне,Фора-474 Київська,10</t>
  </si>
  <si>
    <t>Рівне,Фора-500 Сагайдачного,4А</t>
  </si>
  <si>
    <t>Рівне,Фора-563 Соборна,289А</t>
  </si>
  <si>
    <t>Рівне,Фора-583 Княгині Ольги,1(Сам)</t>
  </si>
  <si>
    <t>Рівне,Фора-584 Теліги,21А(Сам)</t>
  </si>
  <si>
    <t>Сарни,Фора-581 Польська,1(Сам)</t>
  </si>
  <si>
    <t>Сарни,Фора-582 Європейська,31(Сам)</t>
  </si>
  <si>
    <t>Кам'янка-Бузька,Фора-502 Тютюнника,7Б</t>
  </si>
  <si>
    <t>Миколаїв,Фора-511 Чайковського,18</t>
  </si>
  <si>
    <t>Бережани,Фора-509 Тернопільська,9</t>
  </si>
  <si>
    <t>Старокостянтинів,Фора-239 Миру,19/2</t>
  </si>
  <si>
    <t>Полонне,Фора-528 Лесі Українки,174Б</t>
  </si>
  <si>
    <t>Могилів-Подільський,Фора-508 Стависьк,43</t>
  </si>
  <si>
    <t>Дунаївці,Фора-551 Шевченка,57</t>
  </si>
  <si>
    <t>Гребінка,Фора-486 Магістральна,49</t>
  </si>
  <si>
    <t>Пирятин,Фора-487 Майдан Незалежності,2В</t>
  </si>
  <si>
    <t>Ромни,Фора-406 Коржівська,100</t>
  </si>
  <si>
    <t>Київ,Фора-433 Колоса,1Б</t>
  </si>
  <si>
    <t>Київ,Фора-435 Деміївська,13</t>
  </si>
  <si>
    <t>Київ,Фора-440 Максимовича,3Д</t>
  </si>
  <si>
    <t>Бровари,Фора-442 Чорновола,6</t>
  </si>
  <si>
    <t>Київ,Фора-443 Мстиславича,28А</t>
  </si>
  <si>
    <t>Київ,Фора-449 Голосіївська,18</t>
  </si>
  <si>
    <t>Київ,Фора-450 Жуля Верна,13</t>
  </si>
  <si>
    <t>Київ,Фора-451 Русанівський,12</t>
  </si>
  <si>
    <t>Київ,Фора-452 Максимовича,26Б</t>
  </si>
  <si>
    <t>Київ,Фора-454 Світличного,4</t>
  </si>
  <si>
    <t>Бровари,Фора-458 Соборна,20</t>
  </si>
  <si>
    <t>Бровари,Фора-504 Симоненка,2А</t>
  </si>
  <si>
    <t>Київ,Фора-505 ФП Столичне шосе,1 П-9</t>
  </si>
  <si>
    <t>Київ,Фора-510 Олеся,8/17</t>
  </si>
  <si>
    <t>СофБорщагівка,Фора-512 Амосова,67/128</t>
  </si>
  <si>
    <t>Київ,Фора-556 Княжий Затон,2/30</t>
  </si>
  <si>
    <t>Київ,Фора-557 Ново-Дарницька,27</t>
  </si>
  <si>
    <t>Київ,Фора-559 Заболотного,1А</t>
  </si>
  <si>
    <t>Київ,Фора-562 ФП Повітряних Сил,56Б</t>
  </si>
  <si>
    <t>Київ,Фора-573 Трускавецька,8</t>
  </si>
  <si>
    <t>СофБорщагівка,Фора-578 Чубинського,8А</t>
  </si>
  <si>
    <t>Гатне,Фора-546 Приозерний,6</t>
  </si>
  <si>
    <t>Київ,Фора-554 Балтійський,3А</t>
  </si>
  <si>
    <t>Київ,Фора-065 Рейгана,24</t>
  </si>
  <si>
    <t>Бровари,Фора-208 Грушевського,17</t>
  </si>
  <si>
    <t>НовПетрівці,Фора-290 СвПокровськ,222,224</t>
  </si>
  <si>
    <t>Носівка,Фора-235 Центральна,39</t>
  </si>
  <si>
    <t>Київ,Фора-288 Лук'янівська,1</t>
  </si>
  <si>
    <t>Глеваха,Фора-187 Вокзальна,18А</t>
  </si>
  <si>
    <t>Бровари,Фора-432 Чубинського,3</t>
  </si>
  <si>
    <t>Київ,Фора-119 Харківське Шосе,8</t>
  </si>
  <si>
    <t>Київ,Фора-292 Гузара,28</t>
  </si>
  <si>
    <t>Київ,Фора-234 Ентузіастів,37</t>
  </si>
  <si>
    <t>Київ,Фора-251 Покотила,7/2</t>
  </si>
  <si>
    <t>Київ,Фора-198 Кіпріанова,8</t>
  </si>
  <si>
    <t>Миронівка,Фора-136 Бузницького,1</t>
  </si>
  <si>
    <t>Зазим'я,Фора-300 Лісова,55</t>
  </si>
  <si>
    <t>Мила,Фора-314 Комарова,44В</t>
  </si>
  <si>
    <t>Гнідин,Фора-220 Олександрівська,22</t>
  </si>
  <si>
    <t>Київ,Фора-194 Лагерна,46/48</t>
  </si>
  <si>
    <t>Козин,Фора-311 Обухівське Шосе,39</t>
  </si>
  <si>
    <t>Гостомель,Фора-191 Рекунова,1</t>
  </si>
  <si>
    <t>Київ,Фора-195 Науки,24</t>
  </si>
  <si>
    <t>Ніжин,Фора-096 Прощенка,12</t>
  </si>
  <si>
    <t>Кагарлик,Фора-101 Торгівельна,6</t>
  </si>
  <si>
    <t>Київ,Фора-437 Сверстюка,6А</t>
  </si>
  <si>
    <t>Київ,Фора-445 Каховська,62А</t>
  </si>
  <si>
    <t>Київ,Фора-028 Голосіївський,118</t>
  </si>
  <si>
    <t>Київ,Фора-284 Деревлянська,14</t>
  </si>
  <si>
    <t>Борова,Фора-209 Миру,15</t>
  </si>
  <si>
    <t>Київ,Фора-225 Новопирогівська,31</t>
  </si>
  <si>
    <t>Требухів,Фора-276 Броварська,19А</t>
  </si>
  <si>
    <t>Київ,Фора-048 Лісовий,23</t>
  </si>
  <si>
    <t>Київ,Фора-192 Закревського,93А</t>
  </si>
  <si>
    <t>Новосілки,Фора-133 Садова,6А</t>
  </si>
  <si>
    <t>Київ,Фора-447 Вишняківська,17</t>
  </si>
  <si>
    <t>Київ,Фора-005 Воскресенський,20</t>
  </si>
  <si>
    <t>Бровари,Фора-289 Незалежності,7</t>
  </si>
  <si>
    <t>Калинівка,Фора-178 Центральна,78А</t>
  </si>
  <si>
    <t>Київ,Фора-128 Вишгородська,44</t>
  </si>
  <si>
    <t>Київ,Фора-016 Алматинська,54</t>
  </si>
  <si>
    <t>Київ,Фора-023 Верховної Ради,17</t>
  </si>
  <si>
    <t>Київ,Фора-257 Білецького,3</t>
  </si>
  <si>
    <t>Київ,Фора-013 Каденюка,2/35</t>
  </si>
  <si>
    <t>Вороньків,Фора-326 Вишнева,18</t>
  </si>
  <si>
    <t>Київ,Фора-041 Бажана,30</t>
  </si>
  <si>
    <t>Київ,Фора-221 Хмельницького,39/2</t>
  </si>
  <si>
    <t>Київ,Фора-015 Гродненська,1/35</t>
  </si>
  <si>
    <t>Київ,Фора-007 Будівельників,29</t>
  </si>
  <si>
    <t>Київ,Фора-193 Гавела Вацлава,54/26</t>
  </si>
  <si>
    <t>Київ,Фора-106 Заболотного,48А</t>
  </si>
  <si>
    <t>Дата відкриття</t>
  </si>
  <si>
    <t>30.04.2004</t>
  </si>
  <si>
    <t>29.07.2004</t>
  </si>
  <si>
    <t>04.08.2004</t>
  </si>
  <si>
    <t>21.08.2004</t>
  </si>
  <si>
    <t>29.10.2004</t>
  </si>
  <si>
    <t>19.12.2004</t>
  </si>
  <si>
    <t>18.12.2004</t>
  </si>
  <si>
    <t>21.02.2005</t>
  </si>
  <si>
    <t>14.02.2005</t>
  </si>
  <si>
    <t>02.06.2005</t>
  </si>
  <si>
    <t>12.08.2005</t>
  </si>
  <si>
    <t>15.08.2005</t>
  </si>
  <si>
    <t>21.10.2005</t>
  </si>
  <si>
    <t>25.11.2005</t>
  </si>
  <si>
    <t>15.07.2021</t>
  </si>
  <si>
    <t>29.04.2006</t>
  </si>
  <si>
    <t>28.07.2006</t>
  </si>
  <si>
    <t>16.12.2006</t>
  </si>
  <si>
    <t>07.06.2007</t>
  </si>
  <si>
    <t>08.12.2007</t>
  </si>
  <si>
    <t>09.11.2023</t>
  </si>
  <si>
    <t>18.05.2023</t>
  </si>
  <si>
    <t>30.12.2024</t>
  </si>
  <si>
    <t>05.07.2022</t>
  </si>
  <si>
    <t>16.10.2007</t>
  </si>
  <si>
    <t>03.10.2008</t>
  </si>
  <si>
    <t>10.12.2008</t>
  </si>
  <si>
    <t>16.12.2008</t>
  </si>
  <si>
    <t>12.02.2010</t>
  </si>
  <si>
    <t>06.06.2011</t>
  </si>
  <si>
    <t>14.04.2011</t>
  </si>
  <si>
    <t>11.03.2011</t>
  </si>
  <si>
    <t>20.09.2011</t>
  </si>
  <si>
    <t>22.12.2011</t>
  </si>
  <si>
    <t>25.05.2012</t>
  </si>
  <si>
    <t>09.10.2012</t>
  </si>
  <si>
    <t>02.08.2012</t>
  </si>
  <si>
    <t>27.09.2012</t>
  </si>
  <si>
    <t>22.11.2012</t>
  </si>
  <si>
    <t>08.11.2012</t>
  </si>
  <si>
    <t>29.11.2012</t>
  </si>
  <si>
    <t>20.12.2012</t>
  </si>
  <si>
    <t>16.11.2012</t>
  </si>
  <si>
    <t>23.11.2012</t>
  </si>
  <si>
    <t>07.12.2012</t>
  </si>
  <si>
    <t>21.02.2013</t>
  </si>
  <si>
    <t>22.03.2013</t>
  </si>
  <si>
    <t>11.04.2013</t>
  </si>
  <si>
    <t>26.04.2013</t>
  </si>
  <si>
    <t>29.11.2013</t>
  </si>
  <si>
    <t>15.11.2013</t>
  </si>
  <si>
    <t>27.06.2013</t>
  </si>
  <si>
    <t>02.08.2013</t>
  </si>
  <si>
    <t>11.07.2013</t>
  </si>
  <si>
    <t>29.08.2013</t>
  </si>
  <si>
    <t>18.10.2013</t>
  </si>
  <si>
    <t>20.11.2013</t>
  </si>
  <si>
    <t>31.01.2014</t>
  </si>
  <si>
    <t>28.03.2014</t>
  </si>
  <si>
    <t>18.04.2014</t>
  </si>
  <si>
    <t>22.05.2014</t>
  </si>
  <si>
    <t>05.06.2014</t>
  </si>
  <si>
    <t>20.06.2014</t>
  </si>
  <si>
    <t>12.09.2014</t>
  </si>
  <si>
    <t>09.10.2014</t>
  </si>
  <si>
    <t>28.08.2014</t>
  </si>
  <si>
    <t>24.10.2014</t>
  </si>
  <si>
    <t>27.11.2014</t>
  </si>
  <si>
    <t>11.12.2014</t>
  </si>
  <si>
    <t>05.12.2014</t>
  </si>
  <si>
    <t>25.12.2014</t>
  </si>
  <si>
    <t>03.04.2015</t>
  </si>
  <si>
    <t>22.04.2015</t>
  </si>
  <si>
    <t>11.03.2015</t>
  </si>
  <si>
    <t>29.04.2015</t>
  </si>
  <si>
    <t>02.06.2015</t>
  </si>
  <si>
    <t>21.05.2015</t>
  </si>
  <si>
    <t>17.06.2015</t>
  </si>
  <si>
    <t>22.07.2015</t>
  </si>
  <si>
    <t>12.08.2015</t>
  </si>
  <si>
    <t>03.12.2015</t>
  </si>
  <si>
    <t>15.12.2015</t>
  </si>
  <si>
    <t>25.11.2015</t>
  </si>
  <si>
    <t>09.08.2016</t>
  </si>
  <si>
    <t>18.12.2015</t>
  </si>
  <si>
    <t>24.12.2015</t>
  </si>
  <si>
    <t>17.02.2016</t>
  </si>
  <si>
    <t>13.04.2016</t>
  </si>
  <si>
    <t>02.06.2016</t>
  </si>
  <si>
    <t>19.05.2016</t>
  </si>
  <si>
    <t>21.06.2016</t>
  </si>
  <si>
    <t>24.09.2016</t>
  </si>
  <si>
    <t>11.08.2016</t>
  </si>
  <si>
    <t>28.09.2016</t>
  </si>
  <si>
    <t>01.12.2016</t>
  </si>
  <si>
    <t>11.05.2017</t>
  </si>
  <si>
    <t>10.05.2017</t>
  </si>
  <si>
    <t>19.04.2017</t>
  </si>
  <si>
    <t>21.06.2017</t>
  </si>
  <si>
    <t>11.08.2017</t>
  </si>
  <si>
    <t>03.11.2017</t>
  </si>
  <si>
    <t>22.11.2017</t>
  </si>
  <si>
    <t>25.06.2019</t>
  </si>
  <si>
    <t>06.02.2020</t>
  </si>
  <si>
    <t>25.09.2020</t>
  </si>
  <si>
    <t>29.04.2021</t>
  </si>
  <si>
    <t>29.03.2021</t>
  </si>
  <si>
    <t>04.07.2022</t>
  </si>
  <si>
    <t>24.11.2021</t>
  </si>
  <si>
    <t>14.07.2021</t>
  </si>
  <si>
    <t>25.12.2021</t>
  </si>
  <si>
    <t>21.10.2021</t>
  </si>
  <si>
    <t>06.02.2022</t>
  </si>
  <si>
    <t>29.11.2021</t>
  </si>
  <si>
    <t>19.11.2021</t>
  </si>
  <si>
    <t>28.01.2022</t>
  </si>
  <si>
    <t>31.08.2022</t>
  </si>
  <si>
    <t>26.09.2022</t>
  </si>
  <si>
    <t>23.08.2023</t>
  </si>
  <si>
    <t>13.08.2025</t>
  </si>
  <si>
    <t>18.07.2022</t>
  </si>
  <si>
    <t>18.03.2023</t>
  </si>
  <si>
    <t>10.12.2022</t>
  </si>
  <si>
    <t>12.04.2023</t>
  </si>
  <si>
    <t>07.06.2023</t>
  </si>
  <si>
    <t>28.09.2023</t>
  </si>
  <si>
    <t>21.09.2023</t>
  </si>
  <si>
    <t>29.11.2023</t>
  </si>
  <si>
    <t>07.06.2024</t>
  </si>
  <si>
    <t>13.12.2023</t>
  </si>
  <si>
    <t>20.11.2025</t>
  </si>
  <si>
    <t>17.08.2024</t>
  </si>
  <si>
    <t>19.04.2025</t>
  </si>
  <si>
    <t>03.10.2024</t>
  </si>
  <si>
    <t>06.06.2025</t>
  </si>
  <si>
    <t>19.04.2024</t>
  </si>
  <si>
    <t>13.09.2024</t>
  </si>
  <si>
    <t>30.01.2025</t>
  </si>
  <si>
    <t>04.04.2025</t>
  </si>
  <si>
    <t>15.11.2024</t>
  </si>
  <si>
    <t>29.12.2025</t>
  </si>
  <si>
    <t>02.05.2025</t>
  </si>
  <si>
    <t>26.12.2025</t>
  </si>
  <si>
    <t>28.11.2025</t>
  </si>
  <si>
    <t>30.12.2025</t>
  </si>
  <si>
    <t>27.06.2025</t>
  </si>
  <si>
    <t>02.12.2025</t>
  </si>
  <si>
    <t>02.08.2025</t>
  </si>
  <si>
    <t>20.12.2025</t>
  </si>
  <si>
    <t>04.09.2010</t>
  </si>
  <si>
    <t>12.05.2011</t>
  </si>
  <si>
    <t>01.07.2011</t>
  </si>
  <si>
    <t>05.03.2020</t>
  </si>
  <si>
    <t>10.08.2021</t>
  </si>
  <si>
    <t>08.11.2022</t>
  </si>
  <si>
    <t>30.11.2022</t>
  </si>
  <si>
    <t>10.05.2023</t>
  </si>
  <si>
    <t>19.12.2024</t>
  </si>
  <si>
    <t>21.12.2023</t>
  </si>
  <si>
    <t>17.12.2024</t>
  </si>
  <si>
    <t>04.07.2025</t>
  </si>
  <si>
    <t>14.02.2026</t>
  </si>
  <si>
    <t>09.10.2025</t>
  </si>
  <si>
    <t>20.04.2008</t>
  </si>
  <si>
    <t>28.08.2008</t>
  </si>
  <si>
    <t>08.07.2010</t>
  </si>
  <si>
    <t>15.12.2011</t>
  </si>
  <si>
    <t>30.11.2013</t>
  </si>
  <si>
    <t>16.05.2014</t>
  </si>
  <si>
    <t>11.03.2014</t>
  </si>
  <si>
    <t>09.03.2016</t>
  </si>
  <si>
    <t>13.06.2025</t>
  </si>
  <si>
    <t>07.06.2025</t>
  </si>
  <si>
    <t>27.05.2023</t>
  </si>
  <si>
    <t>26.12.2023</t>
  </si>
  <si>
    <t>02.08.2023</t>
  </si>
  <si>
    <t>27.12.2024</t>
  </si>
  <si>
    <t>25.12.2024</t>
  </si>
  <si>
    <t>28.12.2025</t>
  </si>
  <si>
    <t>25.12.2012</t>
  </si>
  <si>
    <t>29.04.2013</t>
  </si>
  <si>
    <t>11.04.2025</t>
  </si>
  <si>
    <t>13.04.2023</t>
  </si>
  <si>
    <t>30.06.2023</t>
  </si>
  <si>
    <t>12.07.2023</t>
  </si>
  <si>
    <t>13.07.2023</t>
  </si>
  <si>
    <t>03.08.2023</t>
  </si>
  <si>
    <t>08.03.2024</t>
  </si>
  <si>
    <t>06.11.2023</t>
  </si>
  <si>
    <t>11.10.2024</t>
  </si>
  <si>
    <t>21.06.2024</t>
  </si>
  <si>
    <t>11.05.2023</t>
  </si>
  <si>
    <t>09.02.2024</t>
  </si>
  <si>
    <t>27.02.2026</t>
  </si>
  <si>
    <t>11.04.2014</t>
  </si>
  <si>
    <t>09.11.2024</t>
  </si>
  <si>
    <t>17.10.2024</t>
  </si>
  <si>
    <t>27.09.2023</t>
  </si>
  <si>
    <t>30.11.2023</t>
  </si>
  <si>
    <t>24.12.2021</t>
  </si>
  <si>
    <t>22.08.2017</t>
  </si>
  <si>
    <t>06.06.2019</t>
  </si>
  <si>
    <t>29.01.2020</t>
  </si>
  <si>
    <t>24.04.2020</t>
  </si>
  <si>
    <t>15.09.2020</t>
  </si>
  <si>
    <t>08.12.2020</t>
  </si>
  <si>
    <t>04.02.2021</t>
  </si>
  <si>
    <t>05.04.2021</t>
  </si>
  <si>
    <t>01.05.2021</t>
  </si>
  <si>
    <t>26.05.2021</t>
  </si>
  <si>
    <t>22.07.2021</t>
  </si>
  <si>
    <t>19.07.2021</t>
  </si>
  <si>
    <t>08.10.2021</t>
  </si>
  <si>
    <t>01.02.2024</t>
  </si>
  <si>
    <t>18.04.2024</t>
  </si>
  <si>
    <t>27.04.2024</t>
  </si>
  <si>
    <t>17.08.2025</t>
  </si>
  <si>
    <t>05.09.2025</t>
  </si>
  <si>
    <t>25.09.2025</t>
  </si>
  <si>
    <t>30.09.2025</t>
  </si>
  <si>
    <t>09.11.2025</t>
  </si>
  <si>
    <t>23.08.2025</t>
  </si>
  <si>
    <t>Власність</t>
  </si>
  <si>
    <t>Виручка</t>
  </si>
  <si>
    <t>Київ,Фора-001 Йорданська,20</t>
  </si>
  <si>
    <t>26.12.2002</t>
  </si>
  <si>
    <t>Київ,Фора-002 Вернадського,16</t>
  </si>
  <si>
    <t>29.12.2002</t>
  </si>
  <si>
    <t>Київ,Фора-003 Шолуденка,16</t>
  </si>
  <si>
    <t>21.06.2003</t>
  </si>
  <si>
    <t>Київ,Фора-011 Харківське Шосе,9</t>
  </si>
  <si>
    <t>28.08.2004</t>
  </si>
  <si>
    <t>Київ,Фора-014 Миропільська,19</t>
  </si>
  <si>
    <t>11.12.2004</t>
  </si>
  <si>
    <t>Київ,Фора-020 Левицького,5</t>
  </si>
  <si>
    <t>16.06.2005</t>
  </si>
  <si>
    <t>Київ,Фора-021 Воскресенський,23Б</t>
  </si>
  <si>
    <t>26.06.2005</t>
  </si>
  <si>
    <t>Київ,Фора-039 Горлівська,124/143</t>
  </si>
  <si>
    <t>21.07.2006</t>
  </si>
  <si>
    <t>Київ,Фора-042 Воскресенський,44</t>
  </si>
  <si>
    <t>27.09.2006</t>
  </si>
  <si>
    <t>Бровари,Фора-046 Броварської Сотні,12</t>
  </si>
  <si>
    <t>05.01.2007</t>
  </si>
  <si>
    <t>Київ,Фора-047 Мрії,24</t>
  </si>
  <si>
    <t>30.12.2006</t>
  </si>
  <si>
    <t>Київ,Фора-067 Василенко,19</t>
  </si>
  <si>
    <t>13.09.2007</t>
  </si>
  <si>
    <t>Київ,Фора-049 Північна,46</t>
  </si>
  <si>
    <t>17.03.2007</t>
  </si>
  <si>
    <t>Київ,Фора-077 Кубанської України,55</t>
  </si>
  <si>
    <t>29.12.2007</t>
  </si>
  <si>
    <t>Київ,Фора-066 Іжакевича,1/24</t>
  </si>
  <si>
    <t>15.06.2007</t>
  </si>
  <si>
    <t>Київ,Фора-070 Ялтинська,6</t>
  </si>
  <si>
    <t>03.11.2007</t>
  </si>
  <si>
    <t>Київ,Фора-082 Антонова,11</t>
  </si>
  <si>
    <t>26.03.2008</t>
  </si>
  <si>
    <t>Київ,Фора-089 Відрадний,14/45</t>
  </si>
  <si>
    <t>04.11.2008</t>
  </si>
  <si>
    <t>Вишневе,Фора-084 Примаченко,7</t>
  </si>
  <si>
    <t>Вишневе,Фора-079 Освіти,2</t>
  </si>
  <si>
    <t>22.12.2007</t>
  </si>
  <si>
    <t>Київ,Фора-081 Ратушного,21А</t>
  </si>
  <si>
    <t>13.06.2008</t>
  </si>
  <si>
    <t>Київ,Фора-083 Солом'янська,40/4</t>
  </si>
  <si>
    <t>19.04.2008</t>
  </si>
  <si>
    <t>Київ,Фора-085 Іваниса,15</t>
  </si>
  <si>
    <t>Київ,Фора-093 Кондратюка,2А</t>
  </si>
  <si>
    <t>15.10.2008</t>
  </si>
  <si>
    <t>Київ,Фора-090 Кубанської,України,47</t>
  </si>
  <si>
    <t>23.09.2008</t>
  </si>
  <si>
    <t>Київ,Фора-088 Татарська,3/2</t>
  </si>
  <si>
    <t>Київ,Фора-091 Гавела Вацлава,29</t>
  </si>
  <si>
    <t>Київ,Фора-087 Бальзака,42/20</t>
  </si>
  <si>
    <t>31.07.2008</t>
  </si>
  <si>
    <t>Київ,Фора-272 Червоної Калини,63/12</t>
  </si>
  <si>
    <t>26.03.2015</t>
  </si>
  <si>
    <t>Київ,Фора-095 Алматинська,41Б</t>
  </si>
  <si>
    <t>22.05.2008</t>
  </si>
  <si>
    <t>Київ,Фора-109 Доброхотова,11А</t>
  </si>
  <si>
    <t>26.12.2008</t>
  </si>
  <si>
    <t>Українка,Фора-114 Юності,3</t>
  </si>
  <si>
    <t>17.09.2009</t>
  </si>
  <si>
    <t>Київ,Фора-126 Парково-Сирецька,12</t>
  </si>
  <si>
    <t>04.02.2010</t>
  </si>
  <si>
    <t>Київ,Фора-120 Берлінського,14</t>
  </si>
  <si>
    <t>БЦерква,Фора-134 Сквирське Шосе,260А</t>
  </si>
  <si>
    <t>01.08.2010</t>
  </si>
  <si>
    <t>Київ,Фора-164 Гавела Вацлава,83</t>
  </si>
  <si>
    <t>25.08.2011</t>
  </si>
  <si>
    <t>Димер,Фора-181 Бударіна,5</t>
  </si>
  <si>
    <t>23.12.2011</t>
  </si>
  <si>
    <t>Київ,Фора-183 Бальзака,94</t>
  </si>
  <si>
    <t>24.04.2012</t>
  </si>
  <si>
    <t>Березань,Фора-184 Привокзальна,1Б</t>
  </si>
  <si>
    <t>10.05.2012</t>
  </si>
  <si>
    <t>Боярка,Фора-186 Симона Петлюри,2</t>
  </si>
  <si>
    <t>Київ,Фора-188 Гавела Вацлава,45</t>
  </si>
  <si>
    <t>10.10.2012</t>
  </si>
  <si>
    <t>Київ,Фора-190 Черчилля,33/10</t>
  </si>
  <si>
    <t>10.07.2012</t>
  </si>
  <si>
    <t>Вишневе,Фора-212 Чорновола,46Б</t>
  </si>
  <si>
    <t>08.08.2013</t>
  </si>
  <si>
    <t>Київ,Фора-215 Корольова,8</t>
  </si>
  <si>
    <t>27.04.2013</t>
  </si>
  <si>
    <t>СофБорщагівка,Фора-216 Українки,19</t>
  </si>
  <si>
    <t>14.06.2013</t>
  </si>
  <si>
    <t>Святопетрів,Фора-219 Володимирська,2Г</t>
  </si>
  <si>
    <t>02.07.2013</t>
  </si>
  <si>
    <t>Бориспіль,Фора-226 Момота,42/5</t>
  </si>
  <si>
    <t>14.03.2014</t>
  </si>
  <si>
    <t>Київ,Фора-232 Будівельників,8</t>
  </si>
  <si>
    <t>Яготин,Фора-233 Незалежності,130</t>
  </si>
  <si>
    <t>27.11.2013</t>
  </si>
  <si>
    <t>Гостомель,Фора-238 Свято-Покровська,73В</t>
  </si>
  <si>
    <t>23.10.2014</t>
  </si>
  <si>
    <t>Велика Димерка,Фора-248 Промислова,2Б</t>
  </si>
  <si>
    <t>15.08.2014</t>
  </si>
  <si>
    <t>Київ,Фора-249 Левицького,19А</t>
  </si>
  <si>
    <t>ПетрБорщагівка,Фора-254 Садова,1Г</t>
  </si>
  <si>
    <t>29.04.2016</t>
  </si>
  <si>
    <t>Глеваха,Фора-255 Ботанічна,19</t>
  </si>
  <si>
    <t>05.09.2014</t>
  </si>
  <si>
    <t>Бровари,Фора-258 Оникієнка,20/2</t>
  </si>
  <si>
    <t>05.01.2015</t>
  </si>
  <si>
    <t>Баришівка,Фора-265 Центральна,15</t>
  </si>
  <si>
    <t>06.01.2015</t>
  </si>
  <si>
    <t>Гнідин,Фора-271 Центральна,23А</t>
  </si>
  <si>
    <t>05.04.2015</t>
  </si>
  <si>
    <t>Київ,Фора-273 Мрії,16</t>
  </si>
  <si>
    <t>16.02.2016</t>
  </si>
  <si>
    <t>Святопетрів,Фора-274 Шевченка,1</t>
  </si>
  <si>
    <t>Тараща,Фора-287 Хмельницького,6</t>
  </si>
  <si>
    <t>28.10.2015</t>
  </si>
  <si>
    <t>Крюківщина,Фора-294 Жулянська,1А</t>
  </si>
  <si>
    <t>25.02.2016</t>
  </si>
  <si>
    <t>Березань,Фора-296 Шевченків Шлях,140А</t>
  </si>
  <si>
    <t>23.02.2016</t>
  </si>
  <si>
    <t>Княжичі,Фора-298 Лагунової,74</t>
  </si>
  <si>
    <t>22.06.2016</t>
  </si>
  <si>
    <t>Боярка,Фора-299 Молодіжна,76А</t>
  </si>
  <si>
    <t>Київ,Фора-309 Чорних Запорожців,28</t>
  </si>
  <si>
    <t>03.11.2016</t>
  </si>
  <si>
    <t>Щасливе,Фора-312 Харківське Шосе,15</t>
  </si>
  <si>
    <t>06.03.2017</t>
  </si>
  <si>
    <t>СофБорщагівка,Фора-313 Яблунева,13А</t>
  </si>
  <si>
    <t>22.12.2016</t>
  </si>
  <si>
    <t>Погреби,Фора-316 Соборна,2</t>
  </si>
  <si>
    <t>18.12.2017</t>
  </si>
  <si>
    <t>Гребінки,Фора-317 Київська,99</t>
  </si>
  <si>
    <t>26.04.2017</t>
  </si>
  <si>
    <t>ПетрБорщагівка,Фора-318 Львівська,1А</t>
  </si>
  <si>
    <t>06.08.2017</t>
  </si>
  <si>
    <t>Ворзель,Фора-321 Курортна,60А</t>
  </si>
  <si>
    <t>21.08.2018</t>
  </si>
  <si>
    <t>Глеваха,Фора-322 Грушевського,42</t>
  </si>
  <si>
    <t>26.09.2017</t>
  </si>
  <si>
    <t>Бориспіль,Фора-323 Головатого,30</t>
  </si>
  <si>
    <t>14.10.2017</t>
  </si>
  <si>
    <t>Хотянівка,Фора-327 Валова,2В</t>
  </si>
  <si>
    <t>18.04.2018</t>
  </si>
  <si>
    <t>Київ,Фора-328 Португальська,2А</t>
  </si>
  <si>
    <t>13.06.2018</t>
  </si>
  <si>
    <t>Гатне,Фора-329 Інститутська,16</t>
  </si>
  <si>
    <t>17.04.2018</t>
  </si>
  <si>
    <t>Лютіж,Фора-330 Визволителів,56А</t>
  </si>
  <si>
    <t>30.03.2018</t>
  </si>
  <si>
    <t>Віта-Поштова,Фора-331 Боярська,4Б</t>
  </si>
  <si>
    <t>04.10.2018</t>
  </si>
  <si>
    <t>Калинівка,Фора-332 Чернігівська,12</t>
  </si>
  <si>
    <t>22.12.2017</t>
  </si>
  <si>
    <t>Ірпінь,Фора-333 Ново-Оскольська,2П</t>
  </si>
  <si>
    <t>25.12.2017</t>
  </si>
  <si>
    <t>Ірпінь,Фора-334 Сковороди,11</t>
  </si>
  <si>
    <t>03.04.2018</t>
  </si>
  <si>
    <t>Білогородка,Фора-335 Володимирська,35/1</t>
  </si>
  <si>
    <t>05.07.2018</t>
  </si>
  <si>
    <t>Бровари,Фора-336 Москаленка,39</t>
  </si>
  <si>
    <t>08.11.2018</t>
  </si>
  <si>
    <t>Вишгород,Фора-337 Ягідна,5А</t>
  </si>
  <si>
    <t>30.11.2018</t>
  </si>
  <si>
    <t>Бровари,Фора-338 Київська,4</t>
  </si>
  <si>
    <t>20.12.2018</t>
  </si>
  <si>
    <t>Київ,Фора-339 Волинська,9Б</t>
  </si>
  <si>
    <t>06.12.2018</t>
  </si>
  <si>
    <t>Пісківка,Фора-340 Привокзальна,16Б</t>
  </si>
  <si>
    <t>22.10.2019</t>
  </si>
  <si>
    <t>Гореничі,Фора-341 АД О100720 /М06</t>
  </si>
  <si>
    <t>03.07.2019</t>
  </si>
  <si>
    <t>Вишневе,Фора-342 Київська,2Л</t>
  </si>
  <si>
    <t>08.08.2019</t>
  </si>
  <si>
    <t>Макарів,Фора-344 Ростовського,1</t>
  </si>
  <si>
    <t>01.08.2019</t>
  </si>
  <si>
    <t>Вишгород,Фора-345 Мазепи,2А</t>
  </si>
  <si>
    <t>20.08.2019</t>
  </si>
  <si>
    <t>Чубинське,Фора-346 Бориспільська,8</t>
  </si>
  <si>
    <t>02.09.2019</t>
  </si>
  <si>
    <t>Богуслав,Фора-347 Шевченка,24</t>
  </si>
  <si>
    <t>04.02.2019</t>
  </si>
  <si>
    <t>Київ,Фора-348 Осьмака,1Б</t>
  </si>
  <si>
    <t>01.04.2019</t>
  </si>
  <si>
    <t>Крюківщина,Фора-350 Одеська,70</t>
  </si>
  <si>
    <t>07.06.2019</t>
  </si>
  <si>
    <t>Гнідин,Фора-351 Олександрівська,56</t>
  </si>
  <si>
    <t>31.07.2019</t>
  </si>
  <si>
    <t>Гостомель,Фора-352 Садова,2</t>
  </si>
  <si>
    <t>29.04.2020</t>
  </si>
  <si>
    <t>Бориспіль,Фора-353 Київський шлях,60</t>
  </si>
  <si>
    <t>16.10.2019</t>
  </si>
  <si>
    <t>Лісники,Фора-354 Родини Рубанів,164А</t>
  </si>
  <si>
    <t>18.12.2019</t>
  </si>
  <si>
    <t>Іванків,Фора-355 Габорака,32</t>
  </si>
  <si>
    <t>06.11.2019</t>
  </si>
  <si>
    <t>Боярка,Фора-356 Михайлівська,6</t>
  </si>
  <si>
    <t>26.03.2020</t>
  </si>
  <si>
    <t>Новосілки,Фора-358 Приміська,26</t>
  </si>
  <si>
    <t>19.08.2020</t>
  </si>
  <si>
    <t>Чабани,Фора-359 Машинобудівників,5Д</t>
  </si>
  <si>
    <t>07.11.2019</t>
  </si>
  <si>
    <t>Катюжанка,Фора-360 Київська,60</t>
  </si>
  <si>
    <t>12.12.2019</t>
  </si>
  <si>
    <t>ПетрБорщагівка,Фора-361 Соборна,16</t>
  </si>
  <si>
    <t>Хотів,Фора-362 Шевченка,11</t>
  </si>
  <si>
    <t>28.12.2019</t>
  </si>
  <si>
    <t>Погреби,Фора-366 Погребський шлях,39</t>
  </si>
  <si>
    <t>20.08.2020</t>
  </si>
  <si>
    <t>Іванків,Фора-367 Харківська,22Г</t>
  </si>
  <si>
    <t>13.05.2020</t>
  </si>
  <si>
    <t>Гостомель,Фора-369 Гостомельське Шосе,1</t>
  </si>
  <si>
    <t>29.07.2020</t>
  </si>
  <si>
    <t>Яготин,Фора-371 Незалежності,19</t>
  </si>
  <si>
    <t>03.06.2020</t>
  </si>
  <si>
    <t>Шевченкове,Фора-372 Ювілейний,1</t>
  </si>
  <si>
    <t>28.05.2021</t>
  </si>
  <si>
    <t>Коцюбинське,Фора-374 Пономарьова,26</t>
  </si>
  <si>
    <t>28.12.2020</t>
  </si>
  <si>
    <t>Димер,Фора-375 Соборна,73</t>
  </si>
  <si>
    <t>24.12.2020</t>
  </si>
  <si>
    <t>Новосілки,Фора-376 Васильківська,21</t>
  </si>
  <si>
    <t>09.10.2020</t>
  </si>
  <si>
    <t>Сквира,Фора-377 Соборна,7</t>
  </si>
  <si>
    <t>09.12.2020</t>
  </si>
  <si>
    <t>Ірпінь,Фора-378 Чайковського,5</t>
  </si>
  <si>
    <t>22.12.2020</t>
  </si>
  <si>
    <t>Васильків,Фора-380 Київський шлях,21,23</t>
  </si>
  <si>
    <t>24.10.2022</t>
  </si>
  <si>
    <t>Красилівка,Фора-382 Європейська,1</t>
  </si>
  <si>
    <t>30.08.2020</t>
  </si>
  <si>
    <t>Переяслав,Фора-384 Хмельницького,96</t>
  </si>
  <si>
    <t>19.02.2021</t>
  </si>
  <si>
    <t>Київ,Фора-388 Ясна,8</t>
  </si>
  <si>
    <t>24.07.2023</t>
  </si>
  <si>
    <t>Вишневе,Фора-389 Вишні,3</t>
  </si>
  <si>
    <t>09.02.2021</t>
  </si>
  <si>
    <t>Київ,Фора-391 Ізяславський,46-49</t>
  </si>
  <si>
    <t>01.09.2020</t>
  </si>
  <si>
    <t>Чайки,Фора-392 Грушевського,12</t>
  </si>
  <si>
    <t>22.12.2023</t>
  </si>
  <si>
    <t>ПетрБорщагівка,Фора-393 Княгині Ольги,67</t>
  </si>
  <si>
    <t>03.07.2023</t>
  </si>
  <si>
    <t>Київ,Фора-396 Булаховського,3А</t>
  </si>
  <si>
    <t>25.07.2022</t>
  </si>
  <si>
    <t>Київ,Фора-403 Полуботка,9Г</t>
  </si>
  <si>
    <t>12.02.2022</t>
  </si>
  <si>
    <t>Київ,Фора-427 Воскресенська,2В</t>
  </si>
  <si>
    <t>Київ,Фора-517 Брайчевського,13</t>
  </si>
  <si>
    <t>02.08.2024</t>
  </si>
  <si>
    <t>Київ,Фора-523 Кибальчича,23</t>
  </si>
  <si>
    <t>10.10.2024</t>
  </si>
  <si>
    <t>Київ,Фора-531 Воскресенський,32</t>
  </si>
  <si>
    <t>31.10.2024</t>
  </si>
  <si>
    <t>Київ,Фора-545 Солов'яненка,7</t>
  </si>
  <si>
    <t>13.07.2025</t>
  </si>
  <si>
    <t>Київ,Фора-547 Чорних Запорожців,21</t>
  </si>
  <si>
    <t>16.07.2025</t>
  </si>
  <si>
    <t>Київ,Фора-552 Світлицького,23</t>
  </si>
  <si>
    <t>31.07.2025</t>
  </si>
  <si>
    <t>Київ,Фора-560 Тростянецька,4/2</t>
  </si>
  <si>
    <t>08.10.2025</t>
  </si>
  <si>
    <t>Київ,Фора-572 Дарницький,23</t>
  </si>
  <si>
    <t>29.10.2025</t>
  </si>
  <si>
    <t>Бородянка,Фора-064 Центральна,343</t>
  </si>
  <si>
    <t>28.04.2007</t>
  </si>
  <si>
    <t>Прилуки,Фора-363 Переяслівська,59А</t>
  </si>
  <si>
    <t>18.03.2020</t>
  </si>
  <si>
    <t>Христинівка,Фора-253 Українська,39</t>
  </si>
  <si>
    <t>Козятин,Фора-365 Грушевського,46</t>
  </si>
  <si>
    <t>24.03.2020</t>
  </si>
  <si>
    <t>Київ,Фора-431 Лісовий,15</t>
  </si>
  <si>
    <t>02.02.2017</t>
  </si>
  <si>
    <t>Чубинське,Фора-434Яблунева,6А</t>
  </si>
  <si>
    <t>14.09.2019</t>
  </si>
  <si>
    <t>Фора Дирекція 5001</t>
  </si>
  <si>
    <t>Київ,Фора МРЦ Зрошувальна,5</t>
  </si>
  <si>
    <t>Квітневе,Фора СРЦ Гоголівська,1а</t>
  </si>
  <si>
    <t>Квітневе,Фора Скороп РЦ Гоголівська,1-А</t>
  </si>
  <si>
    <t>month</t>
  </si>
  <si>
    <t>1</t>
  </si>
  <si>
    <t>2</t>
  </si>
  <si>
    <t>3</t>
  </si>
  <si>
    <t>select year, month, oznaka, count(mvz) from business_analytic.report.orenda</t>
  </si>
  <si>
    <t>group by year, month, oznaka</t>
  </si>
  <si>
    <t>order by year, month, oznaka</t>
  </si>
  <si>
    <t>select year, month, oznaka, sum(suma) from business_analytic.report.orenda</t>
  </si>
  <si>
    <t>where year=2026</t>
  </si>
  <si>
    <t>update r</t>
  </si>
  <si>
    <t>set r.filid=f.[fil.Filials.filialId]</t>
  </si>
  <si>
    <t>from business_analytic.report.orenda r</t>
  </si>
  <si>
    <t>left join masterdata..dim_filials f on f.[fil.Filials.filialExpenseCenter]=r.mvz</t>
  </si>
  <si>
    <t>where filid is null and year=2026 and month=1</t>
  </si>
  <si>
    <t>4</t>
  </si>
  <si>
    <t>15.03.2026</t>
  </si>
  <si>
    <t>05.03.2026</t>
  </si>
  <si>
    <t>18.03.2026</t>
  </si>
  <si>
    <t>03.03.2026</t>
  </si>
  <si>
    <t>08.03.2026</t>
  </si>
  <si>
    <t>5</t>
  </si>
  <si>
    <t>2021160000</t>
  </si>
  <si>
    <t>Тарасівка,Фора-586 Шевченка,178А</t>
  </si>
  <si>
    <t>20211A2527</t>
  </si>
  <si>
    <t>Фора Загально збутове</t>
  </si>
  <si>
    <t>2021202500</t>
  </si>
  <si>
    <t>Станишівська,Фора-566 Комплекс будівель,38</t>
  </si>
  <si>
    <t>2022103000</t>
  </si>
  <si>
    <t>Рокитне,Фора-587 Шевченка,9(Сам)</t>
  </si>
  <si>
    <t>2022103100</t>
  </si>
  <si>
    <t>Дубровиця,Фора-589 Шевченка,55(Сам)</t>
  </si>
  <si>
    <t>2022103200</t>
  </si>
  <si>
    <t>Зарічне,Фора-590 Фестивальн,18А(Сам)</t>
  </si>
  <si>
    <t>2021203000</t>
  </si>
  <si>
    <t>Житомир,Фора-585 Чуднівська,94</t>
  </si>
  <si>
    <t>2027105600</t>
  </si>
  <si>
    <t>Київ,Фора-593 Крістерів,16</t>
  </si>
  <si>
    <t>6</t>
  </si>
  <si>
    <t>7</t>
  </si>
  <si>
    <t>2021150900</t>
  </si>
  <si>
    <t>Боярка,Фора-Proj-07 Соборності,53А</t>
  </si>
  <si>
    <t>2021160400</t>
  </si>
  <si>
    <t>Пухівка,Фора-Proj-18 Центральна,103А</t>
  </si>
  <si>
    <t>2021160500</t>
  </si>
  <si>
    <t>Київ,Фора-591 Куліша,15А</t>
  </si>
  <si>
    <t>2027105700</t>
  </si>
  <si>
    <t>ФудПод(Project)-12_Киев, Голосеевский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</si>
</sst>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3" fontId="0" fillId="0" borderId="0" xfId="0" applyNumberFormat="1"/>
    <xf numFmtId="0" fontId="0" fillId="33" borderId="0" xfId="0" applyFill="1"/>
    <xf numFmtId="0" fontId="0" fillId="0" borderId="0" xfId="0" applyFill="1"/>
    <xf numFmtId="3" fontId="0" fillId="33" borderId="0" xfId="0" applyNumberFormat="1" applyFill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7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Суховій Ігор Юрійович" refreshedDate="46216.679468402777" backgroundQuery="1" createdVersion="6" refreshedVersion="7" minRefreshableVersion="3" recordCount="0" supportSubquery="1" supportAdvancedDrill="1" xr:uid="{00000000-000A-0000-FFFF-FFFF01000000}">
  <cacheSource type="external" connectionId="1"/>
  <cacheFields count="10">
    <cacheField name="[Measures].[Fact]" caption="Fact" numFmtId="0" hierarchy="58" level="32767"/>
    <cacheField name="[Orenda_plan_fact].[groupCost].[groupCost]" caption="groupCost" numFmtId="0" hierarchy="21" level="1">
      <sharedItems containsSemiMixedTypes="0" containsString="0"/>
    </cacheField>
    <cacheField name="[fin_percent_rent].[year].[year]" caption="year" numFmtId="0" hierarchy="14" level="1">
      <sharedItems containsSemiMixedTypes="0" containsString="0"/>
    </cacheField>
    <cacheField name="[Calendar_].[year].[year]" caption="year" numFmtId="0" hierarchy="10" level="1">
      <sharedItems containsSemiMixedTypes="0" containsString="0"/>
    </cacheField>
    <cacheField name="[Store_directory].[Вид МВВ].[Вид МВВ]" caption="Вид МВВ" numFmtId="0" hierarchy="36" level="1">
      <sharedItems containsSemiMixedTypes="0" containsString="0"/>
    </cacheField>
    <cacheField name="[Store_directory].[Код МВВ].[Код МВВ]" caption="Код МВВ" numFmtId="0" hierarchy="42" level="1">
      <sharedItems count="255">
        <s v="[Store_directory].[Код МВВ].&amp;[2021101500]" c="2021101500"/>
        <s v="[Store_directory].[Код МВВ].&amp;[2021101900]" c="2021101900"/>
        <s v="[Store_directory].[Код МВВ].&amp;[2021102000]" c="2021102000"/>
        <s v="[Store_directory].[Код МВВ].&amp;[2021102900]" c="2021102900"/>
        <s v="[Store_directory].[Код МВВ].&amp;[2021103800]" c="2021103800"/>
        <s v="[Store_directory].[Код МВВ].&amp;[2021104300]" c="2021104300"/>
        <s v="[Store_directory].[Код МВВ].&amp;[2021104400]" c="2021104400"/>
        <s v="[Store_directory].[Код МВВ].&amp;[2021105500]" c="2021105500"/>
        <s v="[Store_directory].[Код МВВ].&amp;[2021106300]" c="2021106300"/>
        <s v="[Store_directory].[Код МВВ].&amp;[2021106600]" c="2021106600"/>
        <s v="[Store_directory].[Код МВВ].&amp;[2021108100]" c="2021108100"/>
        <s v="[Store_directory].[Код МВВ].&amp;[2021108200]" c="2021108200"/>
        <s v="[Store_directory].[Код МВВ].&amp;[2021108300]" c="2021108300"/>
        <s v="[Store_directory].[Код МВВ].&amp;[2021111000]" c="2021111000"/>
        <s v="[Store_directory].[Код МВВ].&amp;[2021112900]" c="2021112900"/>
        <s v="[Store_directory].[Код МВВ].&amp;[2021113000]" c="2021113000"/>
        <s v="[Store_directory].[Код МВВ].&amp;[2021113100]" c="2021113100"/>
        <s v="[Store_directory].[Код МВВ].&amp;[2021113300]" c="2021113300"/>
        <s v="[Store_directory].[Код МВВ].&amp;[2021113400]" c="2021113400"/>
        <s v="[Store_directory].[Код МВВ].&amp;[2021113700]" c="2021113700"/>
        <s v="[Store_directory].[Код МВВ].&amp;[2021113800]" c="2021113800"/>
        <s v="[Store_directory].[Код МВВ].&amp;[2021114200]" c="2021114200"/>
        <s v="[Store_directory].[Код МВВ].&amp;[2021114300]" c="2021114300"/>
        <s v="[Store_directory].[Код МВВ].&amp;[2021114400]" c="2021114400"/>
        <s v="[Store_directory].[Код МВВ].&amp;[2021114500]" c="2021114500"/>
        <s v="[Store_directory].[Код МВВ].&amp;[2021114600]" c="2021114600"/>
        <s v="[Store_directory].[Код МВВ].&amp;[2021114900]" c="2021114900"/>
        <s v="[Store_directory].[Код МВВ].&amp;[2021115200]" c="2021115200"/>
        <s v="[Store_directory].[Код МВВ].&amp;[2021115400]" c="2021115400"/>
        <s v="[Store_directory].[Код МВВ].&amp;[2021115600]" c="2021115600"/>
        <s v="[Store_directory].[Код МВВ].&amp;[2021115700]" c="2021115700"/>
        <s v="[Store_directory].[Код МВВ].&amp;[2021115800]" c="2021115800"/>
        <s v="[Store_directory].[Код МВВ].&amp;[2021115900]" c="2021115900"/>
        <s v="[Store_directory].[Код МВВ].&amp;[2021116100]" c="2021116100"/>
        <s v="[Store_directory].[Код МВВ].&amp;[2021116700]" c="2021116700"/>
        <s v="[Store_directory].[Код МВВ].&amp;[2021116800]" c="2021116800"/>
        <s v="[Store_directory].[Код МВВ].&amp;[2021117000]" c="2021117000"/>
        <s v="[Store_directory].[Код МВВ].&amp;[2021117300]" c="2021117300"/>
        <s v="[Store_directory].[Код МВВ].&amp;[2021117500]" c="2021117500"/>
        <s v="[Store_directory].[Код МВВ].&amp;[2021118000]" c="2021118000"/>
        <s v="[Store_directory].[Код МВВ].&amp;[2021118500]" c="2021118500"/>
        <s v="[Store_directory].[Код МВВ].&amp;[2021118600]" c="2021118600"/>
        <s v="[Store_directory].[Код МВВ].&amp;[2021118700]" c="2021118700"/>
        <s v="[Store_directory].[Код МВВ].&amp;[2021118800]" c="2021118800"/>
        <s v="[Store_directory].[Код МВВ].&amp;[2021118900]" c="2021118900"/>
        <s v="[Store_directory].[Код МВВ].&amp;[2021119000]" c="2021119000"/>
        <s v="[Store_directory].[Код МВВ].&amp;[2021119100]" c="2021119100"/>
        <s v="[Store_directory].[Код МВВ].&amp;[2021119200]" c="2021119200"/>
        <s v="[Store_directory].[Код МВВ].&amp;[2021119400]" c="2021119400"/>
        <s v="[Store_directory].[Код МВВ].&amp;[2021120000]" c="2021120000"/>
        <s v="[Store_directory].[Код МВВ].&amp;[2021120100]" c="2021120100"/>
        <s v="[Store_directory].[Код МВВ].&amp;[2021120200]" c="2021120200"/>
        <s v="[Store_directory].[Код МВВ].&amp;[2021120300]" c="2021120300"/>
        <s v="[Store_directory].[Код МВВ].&amp;[2021120700]" c="2021120700"/>
        <s v="[Store_directory].[Код МВВ].&amp;[2021120800]" c="2021120800"/>
        <s v="[Store_directory].[Код МВВ].&amp;[2021121000]" c="2021121000"/>
        <s v="[Store_directory].[Код МВВ].&amp;[2021121100]" c="2021121100"/>
        <s v="[Store_directory].[Код МВВ].&amp;[2021121300]" c="2021121300"/>
        <s v="[Store_directory].[Код МВВ].&amp;[2021121500]" c="2021121500"/>
        <s v="[Store_directory].[Код МВВ].&amp;[2021121900]" c="2021121900"/>
        <s v="[Store_directory].[Код МВВ].&amp;[2021122200]" c="2021122200"/>
        <s v="[Store_directory].[Код МВВ].&amp;[2021122300]" c="2021122300"/>
        <s v="[Store_directory].[Код МВВ].&amp;[2021122600]" c="2021122600"/>
        <s v="[Store_directory].[Код МВВ].&amp;[2021122700]" c="2021122700"/>
        <s v="[Store_directory].[Код МВВ].&amp;[2021122800]" c="2021122800"/>
        <s v="[Store_directory].[Код МВВ].&amp;[2021122900]" c="2021122900"/>
        <s v="[Store_directory].[Код МВВ].&amp;[2021123000]" c="2021123000"/>
        <s v="[Store_directory].[Код МВВ].&amp;[2021123100]" c="2021123100"/>
        <s v="[Store_directory].[Код МВВ].&amp;[2021123400]" c="2021123400"/>
        <s v="[Store_directory].[Код МВВ].&amp;[2021123500]" c="2021123500"/>
        <s v="[Store_directory].[Код МВВ].&amp;[2021123600]" c="2021123600"/>
        <s v="[Store_directory].[Код МВВ].&amp;[2021124000]" c="2021124000"/>
        <s v="[Store_directory].[Код МВВ].&amp;[2021124200]" c="2021124200"/>
        <s v="[Store_directory].[Код МВВ].&amp;[2021124500]" c="2021124500"/>
        <s v="[Store_directory].[Код МВВ].&amp;[2021124600]" c="2021124600"/>
        <s v="[Store_directory].[Код МВВ].&amp;[2021124700]" c="2021124700"/>
        <s v="[Store_directory].[Код МВВ].&amp;[2021124900]" c="2021124900"/>
        <s v="[Store_directory].[Код МВВ].&amp;[2021125000]" c="2021125000"/>
        <s v="[Store_directory].[Код МВВ].&amp;[2021125300]" c="2021125300"/>
        <s v="[Store_directory].[Код МВВ].&amp;[2021125700]" c="2021125700"/>
        <s v="[Store_directory].[Код МВВ].&amp;[2021125800]" c="2021125800"/>
        <s v="[Store_directory].[Код МВВ].&amp;[2021125900]" c="2021125900"/>
        <s v="[Store_directory].[Код МВВ].&amp;[2021126200]" c="2021126200"/>
        <s v="[Store_directory].[Код МВВ].&amp;[2021126300]" c="2021126300"/>
        <s v="[Store_directory].[Код МВВ].&amp;[2021126400]" c="2021126400"/>
        <s v="[Store_directory].[Код МВВ].&amp;[2021126500]" c="2021126500"/>
        <s v="[Store_directory].[Код МВВ].&amp;[2021126600]" c="2021126600"/>
        <s v="[Store_directory].[Код МВВ].&amp;[2021126700]" c="2021126700"/>
        <s v="[Store_directory].[Код МВВ].&amp;[2021126800]" c="2021126800"/>
        <s v="[Store_directory].[Код МВВ].&amp;[2021127000]" c="2021127000"/>
        <s v="[Store_directory].[Код МВВ].&amp;[2021127100]" c="2021127100"/>
        <s v="[Store_directory].[Код МВВ].&amp;[2021127200]" c="2021127200"/>
        <s v="[Store_directory].[Код МВВ].&amp;[2021127400]" c="2021127400"/>
        <s v="[Store_directory].[Код МВВ].&amp;[2021127600]" c="2021127600"/>
        <s v="[Store_directory].[Код МВВ].&amp;[2021128200]" c="2021128200"/>
        <s v="[Store_directory].[Код МВВ].&amp;[2021128300]" c="2021128300"/>
        <s v="[Store_directory].[Код МВВ].&amp;[2021128400]" c="2021128400"/>
        <s v="[Store_directory].[Код МВВ].&amp;[2021128500]" c="2021128500"/>
        <s v="[Store_directory].[Код МВВ].&amp;[2021128600]" c="2021128600"/>
        <s v="[Store_directory].[Код МВВ].&amp;[2021128800]" c="2021128800"/>
        <s v="[Store_directory].[Код МВВ].&amp;[2021129000]" c="2021129000"/>
        <s v="[Store_directory].[Код МВВ].&amp;[2021129100]" c="2021129100"/>
        <s v="[Store_directory].[Код МВВ].&amp;[2021129400]" c="2021129400"/>
        <s v="[Store_directory].[Код МВВ].&amp;[2021129500]" c="2021129500"/>
        <s v="[Store_directory].[Код МВВ].&amp;[2021129900]" c="2021129900"/>
        <s v="[Store_directory].[Код МВВ].&amp;[2021130000]" c="2021130000"/>
        <s v="[Store_directory].[Код МВВ].&amp;[2021130400]" c="2021130400"/>
        <s v="[Store_directory].[Код МВВ].&amp;[2021130600]" c="2021130600"/>
        <s v="[Store_directory].[Код МВВ].&amp;[2021132900]" c="2021132900"/>
        <s v="[Store_directory].[Код МВВ].&amp;[2021133700]" c="2021133700"/>
        <s v="[Store_directory].[Код МВВ].&amp;[2021134300]" c="2021134300"/>
        <s v="[Store_directory].[Код МВВ].&amp;[2021136900]" c="2021136900"/>
        <s v="[Store_directory].[Код МВВ].&amp;[2021137200]" c="2021137200"/>
        <s v="[Store_directory].[Код МВВ].&amp;[2021137300]" c="2021137300"/>
        <s v="[Store_directory].[Код МВВ].&amp;[2021137400]" c="2021137400"/>
        <s v="[Store_directory].[Код МВВ].&amp;[2021137500]" c="2021137500"/>
        <s v="[Store_directory].[Код МВВ].&amp;[2021137600]" c="2021137600"/>
        <s v="[Store_directory].[Код МВВ].&amp;[2021137800]" c="2021137800"/>
        <s v="[Store_directory].[Код МВВ].&amp;[2021138100]" c="2021138100"/>
        <s v="[Store_directory].[Код МВВ].&amp;[2021138200]" c="2021138200"/>
        <s v="[Store_directory].[Код МВВ].&amp;[2021138300]" c="2021138300"/>
        <s v="[Store_directory].[Код МВВ].&amp;[2021138400]" c="2021138400"/>
        <s v="[Store_directory].[Код МВВ].&amp;[2021138800]" c="2021138800"/>
        <s v="[Store_directory].[Код МВВ].&amp;[2021139000]" c="2021139000"/>
        <s v="[Store_directory].[Код МВВ].&amp;[2021139100]" c="2021139100"/>
        <s v="[Store_directory].[Код МВВ].&amp;[2021139200]" c="2021139200"/>
        <s v="[Store_directory].[Код МВВ].&amp;[2021139700]" c="2021139700"/>
        <s v="[Store_directory].[Код МВВ].&amp;[2021139900]" c="2021139900"/>
        <s v="[Store_directory].[Код МВВ].&amp;[2021140000]" c="2021140000"/>
        <s v="[Store_directory].[Код МВВ].&amp;[2021141000]" c="2021141000"/>
        <s v="[Store_directory].[Код МВВ].&amp;[2021142000]" c="2021142000"/>
        <s v="[Store_directory].[Код МВВ].&amp;[2021143000]" c="2021143000"/>
        <s v="[Store_directory].[Код МВВ].&amp;[2021145000]" c="2021145000"/>
        <s v="[Store_directory].[Код МВВ].&amp;[2021146100]" c="2021146100"/>
        <s v="[Store_directory].[Код МВВ].&amp;[2021146200]" c="2021146200"/>
        <s v="[Store_directory].[Код МВВ].&amp;[2021146300]" c="2021146300"/>
        <s v="[Store_directory].[Код МВВ].&amp;[2021146400]" c="2021146400"/>
        <s v="[Store_directory].[Код МВВ].&amp;[2021146500]" c="2021146500"/>
        <s v="[Store_directory].[Код МВВ].&amp;[2021146600]" c="2021146600"/>
        <s v="[Store_directory].[Код МВВ].&amp;[2021146700]" c="2021146700"/>
        <s v="[Store_directory].[Код МВВ].&amp;[2021147000]" c="2021147000"/>
        <s v="[Store_directory].[Код МВВ].&amp;[2021147100]" c="2021147100"/>
        <s v="[Store_directory].[Код МВВ].&amp;[2021147200]" c="2021147200"/>
        <s v="[Store_directory].[Код МВВ].&amp;[2021147300]" c="2021147300"/>
        <s v="[Store_directory].[Код МВВ].&amp;[2021147400]" c="2021147400"/>
        <s v="[Store_directory].[Код МВВ].&amp;[2021147500]" c="2021147500"/>
        <s v="[Store_directory].[Код МВВ].&amp;[2021147800]" c="2021147800"/>
        <s v="[Store_directory].[Код МВВ].&amp;[2021147900]" c="2021147900"/>
        <s v="[Store_directory].[Код МВВ].&amp;[2021148200]" c="2021148200"/>
        <s v="[Store_directory].[Код МВВ].&amp;[2021148600]" c="2021148600"/>
        <s v="[Store_directory].[Код МВВ].&amp;[2021148700]" c="2021148700"/>
        <s v="[Store_directory].[Код МВВ].&amp;[2021148800]" c="2021148800"/>
        <s v="[Store_directory].[Код МВВ].&amp;[2021148900]" c="2021148900"/>
        <s v="[Store_directory].[Код МВВ].&amp;[2021149000]" c="2021149000"/>
        <s v="[Store_directory].[Код МВВ].&amp;[2021149100]" c="2021149100"/>
        <s v="[Store_directory].[Код МВВ].&amp;[2021149200]" c="2021149200"/>
        <s v="[Store_directory].[Код МВВ].&amp;[2021149300]" c="2021149300"/>
        <s v="[Store_directory].[Код МВВ].&amp;[2021149400]" c="2021149400"/>
        <s v="[Store_directory].[Код МВВ].&amp;[2021149500]" c="2021149500"/>
        <s v="[Store_directory].[Код МВВ].&amp;[2021150100]" c="2021150100"/>
        <s v="[Store_directory].[Код МВВ].&amp;[2021150500]" c="2021150500"/>
        <s v="[Store_directory].[Код МВВ].&amp;[2021200600]" c="2021200600"/>
        <s v="[Store_directory].[Код МВВ].&amp;[2021200700]" c="2021200700"/>
        <s v="[Store_directory].[Код МВВ].&amp;[2021200800]" c="2021200800"/>
        <s v="[Store_directory].[Код МВВ].&amp;[2021200900]" c="2021200900"/>
        <s v="[Store_directory].[Код МВВ].&amp;[2021201000]" c="2021201000"/>
        <s v="[Store_directory].[Код МВВ].&amp;[2021201300]" c="2021201300"/>
        <s v="[Store_directory].[Код МВВ].&amp;[2021201400]" c="2021201400"/>
        <s v="[Store_directory].[Код МВВ].&amp;[2021201500]" c="2021201500"/>
        <s v="[Store_directory].[Код МВВ].&amp;[2021201600]" c="2021201600"/>
        <s v="[Store_directory].[Код МВВ].&amp;[2021201700]" c="2021201700"/>
        <s v="[Store_directory].[Код МВВ].&amp;[2021201800]" c="2021201800"/>
        <s v="[Store_directory].[Код МВВ].&amp;[2021201900]" c="2021201900"/>
        <s v="[Store_directory].[Код МВВ].&amp;[2021202000]" c="2021202000"/>
        <s v="[Store_directory].[Код МВВ].&amp;[2021202100]" c="2021202100"/>
        <s v="[Store_directory].[Код МВВ].&amp;[2021202300]" c="2021202300"/>
        <s v="[Store_directory].[Код МВВ].&amp;[2021202600]" c="2021202600"/>
        <s v="[Store_directory].[Код МВВ].&amp;[2021202800]" c="2021202800"/>
        <s v="[Store_directory].[Код МВВ].&amp;[2021202900]" c="2021202900"/>
        <s v="[Store_directory].[Код МВВ].&amp;[2021300400]" c="2021300400"/>
        <s v="[Store_directory].[Код МВВ].&amp;[2021300500]" c="2021300500"/>
        <s v="[Store_directory].[Код МВВ].&amp;[2021300600]" c="2021300600"/>
        <s v="[Store_directory].[Код МВВ].&amp;[2021300700]" c="2021300700"/>
        <s v="[Store_directory].[Код МВВ].&amp;[2021300900]" c="2021300900"/>
        <s v="[Store_directory].[Код МВВ].&amp;[2021301100]" c="2021301100"/>
        <s v="[Store_directory].[Код МВВ].&amp;[2021301200]" c="2021301200"/>
        <s v="[Store_directory].[Код МВВ].&amp;[2021301300]" c="2021301300"/>
        <s v="[Store_directory].[Код МВВ].&amp;[2021301400]" c="2021301400"/>
        <s v="[Store_directory].[Код МВВ].&amp;[2021301700]" c="2021301700"/>
        <s v="[Store_directory].[Код МВВ].&amp;[2021301900]" c="2021301900"/>
        <s v="[Store_directory].[Код МВВ].&amp;[2021400500]" c="2021400500"/>
        <s v="[Store_directory].[Код МВВ].&amp;[2021400700]" c="2021400700"/>
        <s v="[Store_directory].[Код МВВ].&amp;[2021401200]" c="2021401200"/>
        <s v="[Store_directory].[Код МВВ].&amp;[2021401300]" c="2021401300"/>
        <s v="[Store_directory].[Код МВВ].&amp;[2021401400]" c="2021401400"/>
        <s v="[Store_directory].[Код МВВ].&amp;[2021401600]" c="2021401600"/>
        <s v="[Store_directory].[Код МВВ].&amp;[2021500100]" c="2021500100"/>
        <s v="[Store_directory].[Код МВВ].&amp;[2021500200]" c="2021500200"/>
        <s v="[Store_directory].[Код МВВ].&amp;[2021500800]" c="2021500800"/>
        <s v="[Store_directory].[Код МВВ].&amp;[2021500900]" c="2021500900"/>
        <s v="[Store_directory].[Код МВВ].&amp;[2021501000]" c="2021501000"/>
        <s v="[Store_directory].[Код МВВ].&amp;[2021501100]" c="2021501100"/>
        <s v="[Store_directory].[Код МВВ].&amp;[2021501200]" c="2021501200"/>
        <s v="[Store_directory].[Код МВВ].&amp;[2021501300]" c="2021501300"/>
        <s v="[Store_directory].[Код МВВ].&amp;[2021501400]" c="2021501400"/>
        <s v="[Store_directory].[Код МВВ].&amp;[2021501500]" c="2021501500"/>
        <s v="[Store_directory].[Код МВВ].&amp;[2021501600]" c="2021501600"/>
        <s v="[Store_directory].[Код МВВ].&amp;[2021502000]" c="2021502000"/>
        <s v="[Store_directory].[Код МВВ].&amp;[2021502200]" c="2021502200"/>
        <s v="[Store_directory].[Код МВВ].&amp;[2022102300]" c="2022102300"/>
        <s v="[Store_directory].[Код МВВ].&amp;[2022102400]" c="2022102400"/>
        <s v="[Store_directory].[Код МВВ].&amp;[2022102800]" c="2022102800"/>
        <s v="[Store_directory].[Код МВВ].&amp;[2022102900]" c="2022102900"/>
        <s v="[Store_directory].[Код МВВ].&amp;[2022300100]" c="2022300100"/>
        <s v="[Store_directory].[Код МВВ].&amp;[2022300200]" c="2022300200"/>
        <s v="[Store_directory].[Код МВВ].&amp;[2022400300]" c="2022400300"/>
        <s v="[Store_directory].[Код МВВ].&amp;[2022800100]" c="2022800100"/>
        <s v="[Store_directory].[Код МВВ].&amp;[2022800700]" c="2022800700"/>
        <s v="[Store_directory].[Код МВВ].&amp;[2022800800]" c="2022800800"/>
        <s v="[Store_directory].[Код МВВ].&amp;[2022800900]" c="2022800900"/>
        <s v="[Store_directory].[Код МВВ].&amp;[2025400500]" c="2025400500"/>
        <s v="[Store_directory].[Код МВВ].&amp;[2025400600]" c="2025400600"/>
        <s v="[Store_directory].[Код МВВ].&amp;[2025500300]" c="2025500300"/>
        <s v="[Store_directory].[Код МВВ].&amp;[2027100300]" c="2027100300"/>
        <s v="[Store_directory].[Код МВВ].&amp;[2027100600]" c="2027100600"/>
        <s v="[Store_directory].[Код МВВ].&amp;[2027100900]" c="2027100900"/>
        <s v="[Store_directory].[Код МВВ].&amp;[2027101100]" c="2027101100"/>
        <s v="[Store_directory].[Код МВВ].&amp;[2027101500]" c="2027101500"/>
        <s v="[Store_directory].[Код МВВ].&amp;[2027101700]" c="2027101700"/>
        <s v="[Store_directory].[Код МВВ].&amp;[2027102100]" c="2027102100"/>
        <s v="[Store_directory].[Код МВВ].&amp;[2027102300]" c="2027102300"/>
        <s v="[Store_directory].[Код МВВ].&amp;[2027102800]" c="2027102800"/>
        <s v="[Store_directory].[Код МВВ].&amp;[2027102900]" c="2027102900"/>
        <s v="[Store_directory].[Код МВВ].&amp;[2027103000]" c="2027103000"/>
        <s v="[Store_directory].[Код МВВ].&amp;[2027103100]" c="2027103100"/>
        <s v="[Store_directory].[Код МВВ].&amp;[2027103600]" c="2027103600"/>
        <s v="[Store_directory].[Код МВВ].&amp;[2027104000]" c="2027104000"/>
        <s v="[Store_directory].[Код МВВ].&amp;[2027104600]" c="2027104600"/>
        <s v="[Store_directory].[Код МВВ].&amp;[2027104700]" c="2027104700"/>
        <s v="[Store_directory].[Код МВВ].&amp;[2027104800]" c="2027104800"/>
        <s v="[Store_directory].[Код МВВ].&amp;[2027104900]" c="2027104900"/>
        <s v="[Store_directory].[Код МВВ].&amp;[2027105000]" c="2027105000"/>
        <s v="[Store_directory].[Код МВВ].&amp;[2027105100]" c="2027105100"/>
        <s v="[Store_directory].[Код МВВ].&amp;[2027105200]" c="2027105200"/>
        <s v="[Store_directory].[Код МВВ].&amp;[2027105300]" c="2027105300"/>
        <s v="[Store_directory].[Код МВВ].&amp;[2027105400]" c="2027105400"/>
        <s v="[Store_directory].[Код МВВ].&amp;[2027105500]" c="2027105500"/>
        <s v="[Store_directory].[Код МВВ].&amp;[2027108600]" c="2027108600"/>
        <s v="[Store_directory].[Код МВВ].&amp;[2027108700]" c="2027108700"/>
        <s v="[Store_directory].[Код МВВ].&amp;[2021148100]" u="1" c="2021148100"/>
        <s v="[Store_directory].[Код МВВ].&amp;[2021150600]" u="1" c="2021150600"/>
        <s v="[Store_directory].[Код МВВ].&amp;[2021160000]" u="1" c="2021160000"/>
        <s v="[Store_directory].[Код МВВ].&amp;[2021202500]" u="1" c="2021202500"/>
        <s v="[Store_directory].[Код МВВ].&amp;[2021203000]" u="1" c="2021203000"/>
        <s v="[Store_directory].[Код МВВ].&amp;[2021401700]" u="1" c="2021401700"/>
      </sharedItems>
    </cacheField>
    <cacheField name="[Store_directory].[Назва магазину].[Назва магазину]" caption="Назва магазину" numFmtId="0" hierarchy="44" level="1">
      <sharedItems count="255">
        <s v="[Store_directory].[Назва магазину].&amp;[Київ,Фора-015 Гродненська,1/35]" c="Київ,Фора-015 Гродненська,1/35"/>
        <s v="[Store_directory].[Назва магазину].&amp;[Київ,Фора-018 Голосіївський,104]" c="Київ,Фора-018 Голосіївський,104"/>
        <s v="[Store_directory].[Назва магазину].&amp;[Київ,Фора-017 Миропільська,1]" c="Київ,Фора-017 Миропільська,1"/>
        <s v="[Store_directory].[Назва магазину].&amp;[Київ,Фора-022 Воскресенський,14]" c="Київ,Фора-022 Воскресенський,14"/>
        <s v="[Store_directory].[Назва магазину].&amp;[Київ,Фора-028 Голосіївський,118]" c="Київ,Фора-028 Голосіївський,118"/>
        <s v="[Store_directory].[Назва магазину].&amp;[Київ,Фора-447 Вишняківська,17]" c="Київ,Фора-447 Вишняківська,17"/>
        <s v="[Store_directory].[Назва магазину].&amp;[Київ,Фора-033 Зодчих,52]" c="Київ,Фора-033 Зодчих,52"/>
        <s v="[Store_directory].[Назва магазину].&amp;[Київ,Фора-041 Бажана,30]" c="Київ,Фора-041 Бажана,30"/>
        <s v="[Store_directory].[Назва магазину].&amp;[Київ,Фора-048 Лісовий,23]" c="Київ,Фора-048 Лісовий,23"/>
        <s v="[Store_directory].[Назва магазину].&amp;[Київ,Фора-065 Рейгана,24]" c="Київ,Фора-065 Рейгана,24"/>
        <s v="[Store_directory].[Назва магазину].&amp;[БЦерква,Фора-476 Незалежності,57]" c="БЦерква,Фора-476 Незалежності,57"/>
        <s v="[Store_directory].[Назва магазину].&amp;[Київ,Фора-477 Бальзака,85]" c="Київ,Фора-477 Бальзака,85"/>
        <s v="[Store_directory].[Назва магазину].&amp;[Українка,Фора-480 Соснова,5А]" c="Українка,Фора-480 Соснова,5А"/>
        <s v="[Store_directory].[Назва магазину].&amp;[Київ,Фора-386 Чавдар,32]" c="Київ,Фора-386 Чавдар,32"/>
        <s v="[Store_directory].[Назва магазину].&amp;[Кагарлик,Фора-101 Торгівельна,6]" c="Кагарлик,Фора-101 Торгівельна,6"/>
        <s v="[Store_directory].[Назва магазину].&amp;[Конотоп,Фора-102 Лазаревського,12]" c="Конотоп,Фора-102 Лазаревського,12"/>
        <s v="[Store_directory].[Назва магазину].&amp;[Немішаєве,Фора-103 Заводська,49А]" c="Немішаєве,Фора-103 Заводська,49А"/>
        <s v="[Store_directory].[Назва магазину].&amp;[Київ,Фора-105 Руденка,7Б]" c="Київ,Фора-105 Руденка,7Б"/>
        <s v="[Store_directory].[Назва магазину].&amp;[Київ,Фора-106 Заболотного,48А]" c="Київ,Фора-106 Заболотного,48А"/>
        <s v="[Store_directory].[Назва магазину].&amp;[Рокитне,Фора-111 Першотравнева,11]" c="Рокитне,Фора-111 Першотравнева,11"/>
        <s v="[Store_directory].[Назва магазину].&amp;[Бориспіль,Фора-108 Київський шлях,100]" c="Бориспіль,Фора-108 Київський шлях,100"/>
        <s v="[Store_directory].[Назва магазину].&amp;[Київ,Фора-115 Руденка,24]" c="Київ,Фора-115 Руденка,24"/>
        <s v="[Store_directory].[Назва магазину].&amp;[Київ,Фора-116 Європейського Союзу,94]" c="Київ,Фора-116 Європейського Союзу,94"/>
        <s v="[Store_directory].[Назва магазину].&amp;[Київ,Фора-117 Новомостицька,2]" c="Київ,Фора-117 Новомостицька,2"/>
        <s v="[Store_directory].[Назва магазину].&amp;[Київ,Фора-118 Березняківська,36А]" c="Київ,Фора-118 Березняківська,36А"/>
        <s v="[Store_directory].[Назва магазину].&amp;[Київ,Фора-119 Харківське Шосе,8]" c="Київ,Фора-119 Харківське Шосе,8"/>
        <s v="[Store_directory].[Назва магазину].&amp;[Київ,Фора-121 Глушкова,31А]" c="Київ,Фора-121 Глушкова,31А"/>
        <s v="[Store_directory].[Назва магазину].&amp;[Вишневе,Фора-124 Святошинська,40]" c="Вишневе,Фора-124 Святошинська,40"/>
        <s v="[Store_directory].[Назва магазину].&amp;[Київ,Фора-128 Вишгородська,44]" c="Київ,Фора-128 Вишгородська,44"/>
        <s v="[Store_directory].[Назва магазину].&amp;[Буча,Фора-130 Яблунська,203Б]" c="Буча,Фора-130 Яблунська,203Б"/>
        <s v="[Store_directory].[Назва магазину].&amp;[Київ,Фора-131 Борщагівська,212]" c="Київ,Фора-131 Борщагівська,212"/>
        <s v="[Store_directory].[Назва магазину].&amp;[Узин,Фора-132 Богуна,21А]" c="Узин,Фора-132 Богуна,21А"/>
        <s v="[Store_directory].[Назва магазину].&amp;[Новосілки,Фора-133 Садова,6А]" c="Новосілки,Фора-133 Садова,6А"/>
        <s v="[Store_directory].[Назва магазину].&amp;[Миронівка,Фора-136 Бузницького,1]" c="Миронівка,Фора-136 Бузницького,1"/>
        <s v="[Store_directory].[Назва магазину].&amp;[Київ,Фора-154 Кустанайська,10]" c="Київ,Фора-154 Кустанайська,10"/>
        <s v="[Store_directory].[Назва магазину].&amp;[Бахмач,Фора-156 Мудрого,24]" c="Бахмач,Фора-156 Мудрого,24"/>
        <s v="[Store_directory].[Назва магазину].&amp;[Київ,Фора-158 Бекешкіної,12]" c="Київ,Фора-158 Бекешкіної,12"/>
        <s v="[Store_directory].[Назва магазину].&amp;[Київ,Фора-165 Жуля Верна,7]" c="Київ,Фора-165 Жуля Верна,7"/>
        <s v="[Store_directory].[Назва магазину].&amp;[Калинівка,Фора-178 Центральна,78А]" c="Калинівка,Фора-178 Центральна,78А"/>
        <s v="[Store_directory].[Назва магазину].&amp;[Тетіїв,Фора-185 Соборна,19]" c="Тетіїв,Фора-185 Соборна,19"/>
        <s v="[Store_directory].[Назва магазину].&amp;[Гостомель,Фора-191 Рекунова,1]" c="Гостомель,Фора-191 Рекунова,1"/>
        <s v="[Store_directory].[Назва магазину].&amp;[Київ,Фора-192 Закревського,93А]" c="Київ,Фора-192 Закревського,93А"/>
        <s v="[Store_directory].[Назва магазину].&amp;[Київ,Фора-193 Гавела Вацлава,54/26]" c="Київ,Фора-193 Гавела Вацлава,54/26"/>
        <s v="[Store_directory].[Назва магазину].&amp;[Київ,Фора-194 Лагерна,46/48]" c="Київ,Фора-194 Лагерна,46/48"/>
        <s v="[Store_directory].[Назва магазину].&amp;[Київ,Фора-195 Науки,24]" c="Київ,Фора-195 Науки,24"/>
        <s v="[Store_directory].[Назва магазину].&amp;[Бориспіль,Фора-197 Київський шлях,90]" c="Бориспіль,Фора-197 Київський шлях,90"/>
        <s v="[Store_directory].[Назва магазину].&amp;[Київ,Фора-198 Кіпріанова,8]" c="Київ,Фора-198 Кіпріанова,8"/>
        <s v="[Store_directory].[Назва магазину].&amp;[Київ,Фора-199 Миропільська,11]" c="Київ,Фора-199 Миропільська,11"/>
        <s v="[Store_directory].[Назва магазину].&amp;[БЦерква,Фора-202 Павліченко,63]" c="БЦерква,Фора-202 Павліченко,63"/>
        <s v="[Store_directory].[Назва магазину].&amp;[Бровари,Фора-208 Грушевського,17]" c="Бровари,Фора-208 Грушевського,17"/>
        <s v="[Store_directory].[Назва магазину].&amp;[Борова,Фора-209 Миру,15]" c="Борова,Фора-209 Миру,15"/>
        <s v="[Store_directory].[Назва магазину].&amp;[Київ,Фора-210 Ревуцького,26]" c="Київ,Фора-210 Ревуцького,26"/>
        <s v="[Store_directory].[Назва магазину].&amp;[Київ,Фора-211 Драгоманова,19]" c="Київ,Фора-211 Драгоманова,19"/>
        <s v="[Store_directory].[Назва магазину].&amp;[Київ,Фора-217 Світлицького,26Б]" c="Київ,Фора-217 Світлицького,26Б"/>
        <s v="[Store_directory].[Назва магазину].&amp;[Київ,Фора-218 Тампере,12]" c="Київ,Фора-218 Тампере,12"/>
        <s v="[Store_directory].[Назва магазину].&amp;[Гнідин,Фора-220 Олександрівська,22]" c="Гнідин,Фора-220 Олександрівська,22"/>
        <s v="[Store_directory].[Назва магазину].&amp;[Київ,Фора-221 Хмельницького,39/2]" c="Київ,Фора-221 Хмельницького,39/2"/>
        <s v="[Store_directory].[Назва магазину].&amp;[Бровари,Фора-223 Шевченка,10В]" c="Бровари,Фора-223 Шевченка,10В"/>
        <s v="[Store_directory].[Назва магазину].&amp;[Київ,Фора-225 Новопирогівська,31]" c="Київ,Фора-225 Новопирогівська,31"/>
        <s v="[Store_directory].[Назва магазину].&amp;[Ржищів,Фора-231 Соборна,23]" c="Ржищів,Фора-231 Соборна,23"/>
        <s v="[Store_directory].[Назва магазину].&amp;[Київ,Фора-234 Ентузіастів,37]" c="Київ,Фора-234 Ентузіастів,37"/>
        <s v="[Store_directory].[Назва магазину].&amp;[Київ,Фора-236 Закревського,87]" c="Київ,Фора-236 Закревського,87"/>
        <s v="[Store_directory].[Назва магазину].&amp;[Козин,Фора-240 Солов'яненка,60]" c="Козин,Фора-240 Солов'яненка,60"/>
        <s v="[Store_directory].[Назва магазину].&amp;[Київ,Фора-243 Печенізька,1/7А]" c="Київ,Фора-243 Печенізька,1/7А"/>
        <s v="[Store_directory].[Назва магазину].&amp;[Київ,Фора-244 Гетьмана,34]" c="Київ,Фора-244 Гетьмана,34"/>
        <s v="[Store_directory].[Назва магазину].&amp;[Київ,Фора-245 Борщагівська,128]" c="Київ,Фора-245 Борщагівська,128"/>
        <s v="[Store_directory].[Назва магазину].&amp;[Бориспіль,Фора-246 Калмикова,2]" c="Бориспіль,Фора-246 Калмикова,2"/>
        <s v="[Store_directory].[Назва магазину].&amp;[Кагарлик,Фора-247 Незалежності,14]" c="Кагарлик,Фора-247 Незалежності,14"/>
        <s v="[Store_directory].[Назва магазину].&amp;[Київ,Фора-250 Ружинська,26/41]" c="Київ,Фора-250 Ружинська,26/41"/>
        <s v="[Store_directory].[Назва магазину].&amp;[Київ,Фора-251 Покотила,7/2]" c="Київ,Фора-251 Покотила,7/2"/>
        <s v="[Store_directory].[Назва магазину].&amp;[Бородянка,Фора-252 Паркова,2]" c="Бородянка,Фора-252 Паркова,2"/>
        <s v="[Store_directory].[Назва магазину].&amp;[Київ,Фора-257 Білецького,3]" c="Київ,Фора-257 Білецького,3"/>
        <s v="[Store_directory].[Назва магазину].&amp;[Бровари,Фора-259 Київська,92]" c="Бровари,Фора-259 Київська,92"/>
        <s v="[Store_directory].[Назва магазину].&amp;[Київ,Фора-262 Науки,88]" c="Київ,Фора-262 Науки,88"/>
        <s v="[Store_directory].[Назва магазину].&amp;[Київ,Фора-263 Воробйова,11]" c="Київ,Фора-263 Воробйова,11"/>
        <s v="[Store_directory].[Назва магазину].&amp;[Київ,Фора-264 Зодчих,16]" c="Київ,Фора-264 Зодчих,16"/>
        <s v="[Store_directory].[Назва магазину].&amp;[Київ,Фора-266 Метрологічна,14Б]" c="Київ,Фора-266 Метрологічна,14Б"/>
        <s v="[Store_directory].[Назва магазину].&amp;[Київ,Фора-267 Дніпроводська,7]" c="Київ,Фора-267 Дніпроводська,7"/>
        <s v="[Store_directory].[Назва магазину].&amp;[Київ,Фора-270 Вереснева,24]" c="Київ,Фора-270 Вереснева,24"/>
        <s v="[Store_directory].[Назва магазину].&amp;[Київ,Фора-275 Броварський,51]" c="Київ,Фора-275 Броварський,51"/>
        <s v="[Store_directory].[Назва магазину].&amp;[Требухів,Фора-276 Броварська,19А]" c="Требухів,Фора-276 Броварська,19А"/>
        <s v="[Store_directory].[Назва магазину].&amp;[Київ,Фора-277 Якуба Коласа,25]" c="Київ,Фора-277 Якуба Коласа,25"/>
        <s v="[Store_directory].[Назва магазину].&amp;[Гоголів,Фора-280 Київська,167Г]" c="Гоголів,Фора-280 Київська,167Г"/>
        <s v="[Store_directory].[Назва магазину].&amp;[Київ,Фора-281 Кирилівська,122/1]" c="Київ,Фора-281 Кирилівська,122/1"/>
        <s v="[Store_directory].[Назва магазину].&amp;[Київ,Фора-282 Ентузіастів,7]" c="Київ,Фора-282 Ентузіастів,7"/>
        <s v="[Store_directory].[Назва магазину].&amp;[Буча,Фора-283 Склозаводська,10Б]" c="Буча,Фора-283 Склозаводська,10Б"/>
        <s v="[Store_directory].[Назва магазину].&amp;[Київ,Фора-284 Деревлянська,14]" c="Київ,Фора-284 Деревлянська,14"/>
        <s v="[Store_directory].[Назва магазину].&amp;[Київ,Фора-285 Єфремова,8А]" c="Київ,Фора-285 Єфремова,8А"/>
        <s v="[Store_directory].[Назва магазину].&amp;[Київ,Фора-286 Бучми,6А]" c="Київ,Фора-286 Бучми,6А"/>
        <s v="[Store_directory].[Назва магазину].&amp;[Київ,Фора-288 Лук'янівська,1]" c="Київ,Фора-288 Лук'янівська,1"/>
        <s v="[Store_directory].[Назва магазину].&amp;[Бровари,Фора-289 Незалежності,7]" c="Бровари,Фора-289 Незалежності,7"/>
        <s v="[Store_directory].[Назва магазину].&amp;[НовПетрівці,Фора-290 СвПокровськ,222,224]" c="НовПетрівці,Фора-290 СвПокровськ,222,224"/>
        <s v="[Store_directory].[Назва магазину].&amp;[Київ,Фора-292 Гузара,28]" c="Київ,Фора-292 Гузара,28"/>
        <s v="[Store_directory].[Назва магазину].&amp;[Гора,Фора-293 Калинова,2]" c="Гора,Фора-293 Калинова,2"/>
        <s v="[Store_directory].[Назва магазину].&amp;[Зазим'я,Фора-300 Лісова,55]" c="Зазим'я,Фора-300 Лісова,55"/>
        <s v="[Store_directory].[Назва магазину].&amp;[Ставище,Фора-303 Паркова,4]" c="Ставище,Фора-303 Паркова,4"/>
        <s v="[Store_directory].[Назва магазину].&amp;[Київ,Фора-304 Заболотного,128А]" c="Київ,Фора-304 Заболотного,128А"/>
        <s v="[Store_directory].[Назва магазину].&amp;[Ірпінь,Фора-305 Центральна,29]" c="Ірпінь,Фора-305 Центральна,29"/>
        <s v="[Store_directory].[Назва магазину].&amp;[Київ,Фора-306 Тичини,15А]" c="Київ,Фора-306 Тичини,15А"/>
        <s v="[Store_directory].[Назва магазину].&amp;[Київ,Фора-308 Пулюя,5]" c="Київ,Фора-308 Пулюя,5"/>
        <s v="[Store_directory].[Назва магазину].&amp;[Клавдієво-Тарасов,Фора-310 Центральна,2Ж]" c="Клавдієво-Тарасов,Фора-310 Центральна,2Ж"/>
        <s v="[Store_directory].[Назва магазину].&amp;[Козин,Фора-311 Обухівське Шосе,39]" c="Козин,Фора-311 Обухівське Шосе,39"/>
        <s v="[Store_directory].[Назва магазину].&amp;[Мила,Фора-314 Комарова,44В]" c="Мила,Фора-314 Комарова,44В"/>
        <s v="[Store_directory].[Назва магазину].&amp;[Калита,Фора-315 Миру,45]" c="Калита,Фора-315 Миру,45"/>
        <s v="[Store_directory].[Назва магазину].&amp;[СофБорщагівка,Фора-319 Сагайдачного,20А]" c="СофБорщагівка,Фора-319 Сагайдачного,20А"/>
        <s v="[Store_directory].[Назва магазину].&amp;[Ірпінь,Фора-320 Університетська,2Ф/3]" c="Ірпінь,Фора-320 Університетська,2Ф/3"/>
        <s v="[Store_directory].[Назва магазину].&amp;[Коцюбинське,Фора-324 Доківська,14/1]" c="Коцюбинське,Фора-324 Доківська,14/1"/>
        <s v="[Store_directory].[Назва магазину].&amp;[Вороньків,Фора-326 Вишнева,18]" c="Вороньків,Фора-326 Вишнева,18"/>
        <s v="[Store_directory].[Назва магазину].&amp;[Славутич,Фора-349 Поліський квартал,60]" c="Славутич,Фора-349 Поліський квартал,60"/>
        <s v="[Store_directory].[Назва магазину].&amp;[Бориспіль,Фора-357 Київський шлях,14Ж]" c="Бориспіль,Фора-357 Київський шлях,14Ж"/>
        <s v="[Store_directory].[Назва магазину].&amp;[Київ,Фора-364 Тираспольська,56]" c="Київ,Фора-364 Тираспольська,56"/>
        <s v="[Store_directory].[Назва магазину].&amp;[Київ,Фора-394 Лесі Українки,28]" c="Київ,Фора-394 Лесі Українки,28"/>
        <s v="[Store_directory].[Назва магазину].&amp;[Фастів,Фора-398 Мазепи,6]" c="Фастів,Фора-398 Мазепи,6"/>
        <s v="[Store_directory].[Назва магазину].&amp;[Київ,Фора-399 Науки,58В]" c="Київ,Фора-399 Науки,58В"/>
        <s v="[Store_directory].[Назва магазину].&amp;[Боярка,Фора-400 Франка,101А]" c="Боярка,Фора-400 Франка,101А"/>
        <s v="[Store_directory].[Назва магазину].&amp;[Вишневе,Фора-401 Машинобудівників,11А]" c="Вишневе,Фора-401 Машинобудівників,11А"/>
        <s v="[Store_directory].[Назва магазину].&amp;[Київ,Фора-402 Юнкерова,92А]" c="Київ,Фора-402 Юнкерова,92А"/>
        <s v="[Store_directory].[Назва магазину].&amp;[СофБорщагівка,Фора-404 Небесної Сотні,38]" c="СофБорщагівка,Фора-404 Небесної Сотні,38"/>
        <s v="[Store_directory].[Назва магазину].&amp;[Київ,Фора-408 Зарічна,6]" c="Київ,Фора-408 Зарічна,6"/>
        <s v="[Store_directory].[Назва магазину].&amp;[Київ,Фора-409 Лютеранська,3]" c="Київ,Фора-409 Лютеранська,3"/>
        <s v="[Store_directory].[Назва магазину].&amp;[Київ,Фора-410 Преображенська,28]" c="Київ,Фора-410 Преображенська,28"/>
        <s v="[Store_directory].[Назва магазину].&amp;[Київ,Фора-411 Гавела Вацлава,4]" c="Київ,Фора-411 Гавела Вацлава,4"/>
        <s v="[Store_directory].[Назва магазину].&amp;[Київ,Фора-416 Донецька,8А]" c="Київ,Фора-416 Донецька,8А"/>
        <s v="[Store_directory].[Назва магазину].&amp;[Київ,Фора-418 Берестейський,60]" c="Київ,Фора-418 Берестейський,60"/>
        <s v="[Store_directory].[Назва магазину].&amp;[БЦерква,Фора-420 Олександрійський,58Г]" c="БЦерква,Фора-420 Олександрійський,58Г"/>
        <s v="[Store_directory].[Назва магазину].&amp;[Біла Церква,Фора-421 Шевченка,87]" c="Біла Церква,Фора-421 Шевченка,87"/>
        <s v="[Store_directory].[Назва магазину].&amp;[Київ,Фора-428 Чорновола,27]" c="Київ,Фора-428 Чорновола,27"/>
        <s v="[Store_directory].[Назва магазину].&amp;[Володарка,Фора-430 Миру,5]" c="Володарка,Фора-430 Миру,5"/>
        <s v="[Store_directory].[Назва магазину].&amp;[Ірпінь,Фора-462 Антонова,6]" c="Ірпінь,Фора-462 Антонова,6"/>
        <s v="[Store_directory].[Назва магазину].&amp;[Київ,Фора-463 Івасюка,39В]" c="Київ,Фора-463 Івасюка,39В"/>
        <s v="[Store_directory].[Назва магазину].&amp;[Київ,Фора-464 Оболонський,51В]" c="Київ,Фора-464 Оболонський,51В"/>
        <s v="[Store_directory].[Назва магазину].&amp;[Київ,Фора-465 Парково-Сирецька,1]" c="Київ,Фора-465 Парково-Сирецька,1"/>
        <s v="[Store_directory].[Назва магазину].&amp;[Київ,Фора-469 Шухевича,12]" c="Київ,Фора-469 Шухевича,12"/>
        <s v="[Store_directory].[Назва магазину].&amp;[Київ,Фора-489 Братства Тарасівців,3]" c="Київ,Фора-489 Братства Тарасівців,3"/>
        <s v="[Store_directory].[Назва магазину].&amp;[Київ,Фора-490 Повітряних Сил,44]" c="Київ,Фора-490 Повітряних Сил,44"/>
        <s v="[Store_directory].[Назва магазину].&amp;[Обухів,Фора-491 Каштанова,6/1]" c="Обухів,Фора-491 Каштанова,6/1"/>
        <s v="[Store_directory].[Назва магазину].&amp;[Київ,Фора-495 Оболонський,26]" c="Київ,Фора-495 Оболонський,26"/>
        <s v="[Store_directory].[Назва магазину].&amp;[Київ,Фора-496 Біличанська,1]" c="Київ,Фора-496 Біличанська,1"/>
        <s v="[Store_directory].[Назва магазину].&amp;[Київ,Фора-499 Йорданська,10]" c="Київ,Фора-499 Йорданська,10"/>
        <s v="[Store_directory].[Назва магазину].&amp;[Іванковичі,Фора-561 Соборна,10Ц]" c="Іванковичі,Фора-561 Соборна,10Ц"/>
        <s v="[Store_directory].[Назва магазину].&amp;[Згурівка,Фора-501 Центральна,4]" c="Згурівка,Фора-501 Центральна,4"/>
        <s v="[Store_directory].[Назва магазину].&amp;[Буча,Фора-514 Гмирі,7Б]" c="Буча,Фора-514 Гмирі,7Б"/>
        <s v="[Store_directory].[Назва магазину].&amp;[Нове,Фора-519 Крушельницької,1]" c="Нове,Фора-519 Крушельницької,1"/>
        <s v="[Store_directory].[Назва магазину].&amp;[Бишів,Фора-516 Київська,54]" c="Бишів,Фора-516 Київська,54"/>
        <s v="[Store_directory].[Назва магазину].&amp;[СофБорщагівка,Фора-506 Житня,12]" c="СофБорщагівка,Фора-506 Житня,12"/>
        <s v="[Store_directory].[Назва магазину].&amp;[Київ,Фора-507 Князя Мономаха,31]" c="Київ,Фора-507 Князя Мономаха,31"/>
        <s v="[Store_directory].[Назва магазину].&amp;[Київ,Фора-521 Зодчих,62]" c="Київ,Фора-521 Зодчих,62"/>
        <s v="[Store_directory].[Назва магазину].&amp;[Київ,Фора-522 Миру,4]" c="Київ,Фора-522 Миру,4"/>
        <s v="[Store_directory].[Назва магазину].&amp;[Київ,Фора-527 Маланюка Євгена,101]" c="Київ,Фора-527 Маланюка Євгена,101"/>
        <s v="[Store_directory].[Назва магазину].&amp;[Київ,Фора-532 Олени Теліги,31/1]" c="Київ,Фора-532 Олени Теліги,31/1"/>
        <s v="[Store_directory].[Назва магазину].&amp;[Київ,Фора-533 Преображенська,7]" c="Київ,Фора-533 Преображенська,7"/>
        <s v="[Store_directory].[Назва магазину].&amp;[Київ,Фора-577 Єфремова,23]" c="Київ,Фора-577 Єфремова,23"/>
        <s v="[Store_directory].[Назва магазину].&amp;[Київ,Фора-540 Столичне шосе,1 П-10]" c="Київ,Фора-540 Столичне шосе,1 П-10"/>
        <s v="[Store_directory].[Назва магазину].&amp;[Київ,Фора-567 Дмитрівська,96/98]" c="Київ,Фора-567 Дмитрівська,96/98"/>
        <s v="[Store_directory].[Назва магазину].&amp;[Київ,Фора-558 Вірського,37]" c="Київ,Фора-558 Вірського,37"/>
        <s v="[Store_directory].[Назва магазину].&amp;[Київ,Фора-543 Ревуцького,52]" c="Київ,Фора-543 Ревуцького,52"/>
        <s v="[Store_directory].[Назва магазину].&amp;[Ірпінь,Фора-544 Котляревського,56]" c="Ірпінь,Фора-544 Котляревського,56"/>
        <s v="[Store_directory].[Назва магазину].&amp;[Рокитне,Фора-564 Вокзальна,68Б]" c="Рокитне,Фора-564 Вокзальна,68Б"/>
        <s v="[Store_directory].[Назва магазину].&amp;[Житомир,Фора-536 Київська,106]" c="Житомир,Фора-536 Київська,106"/>
        <s v="[Store_directory].[Назва магазину].&amp;[Київ,Фора-548 Райдужна,67]" c="Київ,Фора-548 Райдужна,67"/>
        <s v="[Store_directory].[Назва магазину].&amp;[Київ,Фора-574 Чибінєєвих Братів,8А]" c="Київ,Фора-574 Чибінєєвих Братів,8А"/>
        <s v="[Store_directory].[Назва магазину].&amp;[Бердичів,Фора-110 Вінницька,18]" c="Бердичів,Фора-110 Вінницька,18"/>
        <s v="[Store_directory].[Назва магазину].&amp;[Коростень,Фора-135 Грушевського,34]" c="Коростень,Фора-135 Грушевського,34"/>
        <s v="[Store_directory].[Назва магазину].&amp;[Бердичів,Фора-142 Привокзальна,1А]" c="Бердичів,Фора-142 Привокзальна,1А"/>
        <s v="[Store_directory].[Назва магазину].&amp;[Звягель,Фора-159 Київська,6]" c="Звягель,Фора-159 Київська,6"/>
        <s v="[Store_directory].[Назва магазину].&amp;[Звягель,Фора-160 Герасимчука,1]" c="Звягель,Фора-160 Герасимчука,1"/>
        <s v="[Store_directory].[Назва магазину].&amp;[Овруч,Фора-385 Богуна,8В]" c="Овруч,Фора-385 Богуна,8В"/>
        <s v="[Store_directory].[Назва магазину].&amp;[Брусилів,Фора-390 Іларіона,20]" c="Брусилів,Фора-390 Іларіона,20"/>
        <s v="[Store_directory].[Назва магазину].&amp;[Попільня,Фора-395 Шайдюка,5А]" c="Попільня,Фора-395 Шайдюка,5А"/>
        <s v="[Store_directory].[Назва магазину].&amp;[Житомир,Фора-414 Лятошинського,2]" c="Житомир,Фора-414 Лятошинського,2"/>
        <s v="[Store_directory].[Назва магазину].&amp;[Житомир,Фора-468 Кибальчича,9]" c="Житомир,Фора-468 Кибальчича,9"/>
        <s v="[Store_directory].[Назва магазину].&amp;[Бердичів,Фора-473 Європейська, 5/7]" c="Бердичів,Фора-473 Європейська, 5/7"/>
        <s v="[Store_directory].[Назва магазину].&amp;[Чуднів,Фора-494 Героїв Майдану,156]" c="Чуднів,Фора-494 Героїв Майдану,156"/>
        <s v="[Store_directory].[Назва магазину].&amp;[Житомир,Фора-498 Сльоти,60а]" c="Житомир,Фора-498 Сльоти,60а"/>
        <s v="[Store_directory].[Назва магазину].&amp;[Коростень,Фора-513 Базарна площа,18В]" c="Коростень,Фора-513 Базарна площа,18В"/>
        <s v="[Store_directory].[Назва магазину].&amp;[Ружин,Фора-530 Незалежності,9/1]" c="Ружин,Фора-530 Незалежності,9/1"/>
        <s v="[Store_directory].[Назва магазину].&amp;[Боярка,Фора-549 Гоголя,50Б]" c="Боярка,Фора-549 Гоголя,50Б"/>
        <s v="[Store_directory].[Назва магазину].&amp;[Козин,Фора-555 Партизанська,2Д]" c="Козин,Фора-555 Партизанська,2Д"/>
        <s v="[Store_directory].[Назва магазину].&amp;[Бердичів,Фора-553 Вінницька,71]" c="Бердичів,Фора-553 Вінницька,71"/>
        <s v="[Store_directory].[Назва магазину].&amp;[Ніжин,Фора-096 Прощенка,12]" c="Ніжин,Фора-096 Прощенка,12"/>
        <s v="[Store_directory].[Назва магазину].&amp;[Борзна,Фора-100 Шевченка,16]" c="Борзна,Фора-100 Шевченка,16"/>
        <s v="[Store_directory].[Назва магазину].&amp;[Ніжин,Фора-127 Шевченка,20]" c="Ніжин,Фора-127 Шевченка,20"/>
        <s v="[Store_directory].[Назва магазину].&amp;[Бахмач,Фора-137 Соборності,62Б]" c="Бахмач,Фора-137 Соборності,62Б"/>
        <s v="[Store_directory].[Назва магазину].&amp;[Козелець,Фора-179 Соборності,53/1]" c="Козелець,Фора-179 Соборності,53/1"/>
        <s v="[Store_directory].[Назва магазину].&amp;[Носівка,Фора-235 Центральна,39]" c="Носівка,Фора-235 Центральна,39"/>
        <s v="[Store_directory].[Назва магазину].&amp;[Бобровиця,Фора-241 Незалежності,40А]" c="Бобровиця,Фора-241 Незалежності,40А"/>
        <s v="[Store_directory].[Назва магазину].&amp;[Городня,Фора-242 Чернігівська,26А]" c="Городня,Фора-242 Чернігівська,26А"/>
        <s v="[Store_directory].[Назва магазину].&amp;[Ніжин,Фора-295 Батюка,9]" c="Ніжин,Фора-295 Батюка,9"/>
        <s v="[Store_directory].[Назва магазину].&amp;[Чернігів,Фора-538 Миру,68]" c="Чернігів,Фора-538 Миру,68"/>
        <s v="[Store_directory].[Назва магазину].&amp;[Корюківка,Фора-541 Шевченка,73А]" c="Корюківка,Фора-541 Шевченка,73А"/>
        <s v="[Store_directory].[Назва магазину].&amp;[Звенигородка,Фора-481 Грушевського,140]" c="Звенигородка,Фора-481 Грушевського,140"/>
        <s v="[Store_directory].[Назва магазину].&amp;[Маньківка,Фора-470 Соборна,12]" c="Маньківка,Фора-470 Соборна,12"/>
        <s v="[Store_directory].[Назва магазину].&amp;[Корс-Шевченківськ,Фора-484 Гер Майдану,7]" c="Корс-Шевченківськ,Фора-484 Гер Майдану,7"/>
        <s v="[Store_directory].[Назва магазину].&amp;[Шпола,Фора-524 Соборна,33]" c="Шпола,Фора-524 Соборна,33"/>
        <s v="[Store_directory].[Назва магазину].&amp;[Гельмязів,Фора-534 Центральна,6]" c="Гельмязів,Фора-534 Центральна,6"/>
        <s v="[Store_directory].[Назва магазину].&amp;[Умань,Фора-575 Захисників України,21Б]" c="Умань,Фора-575 Захисників України,21Б"/>
        <s v="[Store_directory].[Назва магазину].&amp;[Гайсин,Фора-201 1-го Травня,70А]" c="Гайсин,Фора-201 1-го Травня,70А"/>
        <s v="[Store_directory].[Назва магазину].&amp;[Ладижин,Фора-213 Будівельників,15А]" c="Ладижин,Фора-213 Будівельників,15А"/>
        <s v="[Store_directory].[Назва магазину].&amp;[Погребище,Фора-535 Хмельницького,107]" c="Погребище,Фора-535 Хмельницького,107"/>
        <s v="[Store_directory].[Назва магазину].&amp;[Вінниця,Фора-475 Чорновола,29Б]" c="Вінниця,Фора-475 Чорновола,29Б"/>
        <s v="[Store_directory].[Назва магазину].&amp;[Вінниця,Фора-478 600-річчя,17]" c="Вінниця,Фора-478 600-річчя,17"/>
        <s v="[Store_directory].[Назва магазину].&amp;[Вінниця,Фора-479 Коцюбинського,2А]" c="Вінниця,Фора-479 Коцюбинського,2А"/>
        <s v="[Store_directory].[Назва магазину].&amp;[Хмільник,Фора-482 Свободи,21Б]" c="Хмільник,Фора-482 Свободи,21Б"/>
        <s v="[Store_directory].[Назва магазину].&amp;[Тульчин,Фора-488 Леонтовича,50]" c="Тульчин,Фора-488 Леонтовича,50"/>
        <s v="[Store_directory].[Назва магазину].&amp;[Літин,Фора-492 Соборна,22]" c="Літин,Фора-492 Соборна,22"/>
        <s v="[Store_directory].[Назва магазину].&amp;[Летичів,Фора-493 Шевченка,1А]" c="Летичів,Фора-493 Шевченка,1А"/>
        <s v="[Store_directory].[Назва магазину].&amp;[Іллінці,Фора-542 Європейська,22]" c="Іллінці,Фора-542 Європейська,22"/>
        <s v="[Store_directory].[Назва магазину].&amp;[Гнівань,Фора-518 Соборна,45]" c="Гнівань,Фора-518 Соборна,45"/>
        <s v="[Store_directory].[Назва магазину].&amp;[Теплик,Фора-503 Незалежності,28]" c="Теплик,Фора-503 Незалежності,28"/>
        <s v="[Store_directory].[Назва магазину].&amp;[Рівне,Фора-474 Київська,10]" c="Рівне,Фора-474 Київська,10"/>
        <s v="[Store_directory].[Назва магазину].&amp;[Рівне,Фора-500 Сагайдачного,4А]" c="Рівне,Фора-500 Сагайдачного,4А"/>
        <s v="[Store_directory].[Назва магазину].&amp;[Сарни,Фора-581 Польська,1(Сам)]" c="Сарни,Фора-581 Польська,1(Сам)"/>
        <s v="[Store_directory].[Назва магазину].&amp;[Сарни,Фора-582 Європейська,31(Сам)]" c="Сарни,Фора-582 Європейська,31(Сам)"/>
        <s v="[Store_directory].[Назва магазину].&amp;[Кам'янка-Бузька,Фора-502 Тютюнника,7Б]" c="Кам'янка-Бузька,Фора-502 Тютюнника,7Б"/>
        <s v="[Store_directory].[Назва магазину].&amp;[Миколаїв,Фора-511 Чайковського,18]" c="Миколаїв,Фора-511 Чайковського,18"/>
        <s v="[Store_directory].[Назва магазину].&amp;[Бережани,Фора-509 Тернопільська,9]" c="Бережани,Фора-509 Тернопільська,9"/>
        <s v="[Store_directory].[Назва магазину].&amp;[Старокостянтинів,Фора-239 Миру,19/2]" c="Старокостянтинів,Фора-239 Миру,19/2"/>
        <s v="[Store_directory].[Назва магазину].&amp;[Полонне,Фора-528 Лесі Українки,174Б]" c="Полонне,Фора-528 Лесі Українки,174Б"/>
        <s v="[Store_directory].[Назва магазину].&amp;[Могилів-Подільський,Фора-508 Стависьк,43]" c="Могилів-Подільський,Фора-508 Стависьк,43"/>
        <s v="[Store_directory].[Назва магазину].&amp;[Дунаївці,Фора-551 Шевченка,57]" c="Дунаївці,Фора-551 Шевченка,57"/>
        <s v="[Store_directory].[Назва магазину].&amp;[Гребінка,Фора-486 Магістральна,49]" c="Гребінка,Фора-486 Магістральна,49"/>
        <s v="[Store_directory].[Назва магазину].&amp;[Пирятин,Фора-487 Майдан Незалежності,2В]" c="Пирятин,Фора-487 Майдан Незалежності,2В"/>
        <s v="[Store_directory].[Назва магазину].&amp;[Ромни,Фора-406 Коржівська,100]" c="Ромни,Фора-406 Коржівська,100"/>
        <s v="[Store_directory].[Назва магазину].&amp;[Бровари,Фора-432 Чубинського,3]" c="Бровари,Фора-432 Чубинського,3"/>
        <s v="[Store_directory].[Назва магазину].&amp;[Київ,Фора-433 Колоса,1Б]" c="Київ,Фора-433 Колоса,1Б"/>
        <s v="[Store_directory].[Назва магазину].&amp;[Київ,Фора-435 Деміївська,13]" c="Київ,Фора-435 Деміївська,13"/>
        <s v="[Store_directory].[Назва магазину].&amp;[Київ,Фора-437 Сверстюка,6А]" c="Київ,Фора-437 Сверстюка,6А"/>
        <s v="[Store_directory].[Назва магазину].&amp;[Київ,Фора-440 Максимовича,3Д]" c="Київ,Фора-440 Максимовича,3Д"/>
        <s v="[Store_directory].[Назва магазину].&amp;[Бровари,Фора-442 Чорновола,6]" c="Бровари,Фора-442 Чорновола,6"/>
        <s v="[Store_directory].[Назва магазину].&amp;[Київ,Фора-443 Мстиславича,28А]" c="Київ,Фора-443 Мстиславича,28А"/>
        <s v="[Store_directory].[Назва магазину].&amp;[Київ,Фора-445 Каховська,62А]" c="Київ,Фора-445 Каховська,62А"/>
        <s v="[Store_directory].[Назва магазину].&amp;[Київ,Фора-449 Голосіївська,18]" c="Київ,Фора-449 Голосіївська,18"/>
        <s v="[Store_directory].[Назва магазину].&amp;[Київ,Фора-450 Жуля Верна,13]" c="Київ,Фора-450 Жуля Верна,13"/>
        <s v="[Store_directory].[Назва магазину].&amp;[Київ,Фора-451 Русанівський,12]" c="Київ,Фора-451 Русанівський,12"/>
        <s v="[Store_directory].[Назва магазину].&amp;[Київ,Фора-452 Максимовича,26Б]" c="Київ,Фора-452 Максимовича,26Б"/>
        <s v="[Store_directory].[Назва магазину].&amp;[Київ,Фора-454 Світличного,4]" c="Київ,Фора-454 Світличного,4"/>
        <s v="[Store_directory].[Назва магазину].&amp;[Бровари,Фора-458 Соборна,20]" c="Бровари,Фора-458 Соборна,20"/>
        <s v="[Store_directory].[Назва магазину].&amp;[Бровари,Фора-504 Симоненка,2А]" c="Бровари,Фора-504 Симоненка,2А"/>
        <s v="[Store_directory].[Назва магазину].&amp;[Київ,Фора-505 ФП Столичне шосе,1 П-9]" c="Київ,Фора-505 ФП Столичне шосе,1 П-9"/>
        <s v="[Store_directory].[Назва магазину].&amp;[Київ,Фора-510 Олеся,8/17]" c="Київ,Фора-510 Олеся,8/17"/>
        <s v="[Store_directory].[Назва магазину].&amp;[СофБорщагівка,Фора-512 Амосова,67/128]" c="СофБорщагівка,Фора-512 Амосова,67/128"/>
        <s v="[Store_directory].[Назва магазину].&amp;[Київ,Фора-556 Княжий Затон,2/30]" c="Київ,Фора-556 Княжий Затон,2/30"/>
        <s v="[Store_directory].[Назва магазину].&amp;[Київ,Фора-557 Ново-Дарницька,27]" c="Київ,Фора-557 Ново-Дарницька,27"/>
        <s v="[Store_directory].[Назва магазину].&amp;[Київ,Фора-559 Заболотного,1А]" c="Київ,Фора-559 Заболотного,1А"/>
        <s v="[Store_directory].[Назва магазину].&amp;[Київ,Фора-562 ФП Повітряних Сил,56Б]" c="Київ,Фора-562 ФП Повітряних Сил,56Б"/>
        <s v="[Store_directory].[Назва магазину].&amp;[Київ,Фора-573 Трускавецька,8]" c="Київ,Фора-573 Трускавецька,8"/>
        <s v="[Store_directory].[Назва магазину].&amp;[СофБорщагівка,Фора-578 Чубинського,8А]" c="СофБорщагівка,Фора-578 Чубинського,8А"/>
        <s v="[Store_directory].[Назва магазину].&amp;[Гатне,Фора-546 Приозерний,6]" c="Гатне,Фора-546 Приозерний,6"/>
        <s v="[Store_directory].[Назва магазину].&amp;[Київ,Фора-554 Балтійський,3А]" c="Київ,Фора-554 Балтійський,3А"/>
        <s v="[Store_directory].[Назва магазину].&amp;[Ржищів,Фора-525 Київський Шлях,1]" u="1" c="Ржищів,Фора-525 Київський Шлях,1"/>
        <s v="[Store_directory].[Назва магазину].&amp;[Крюківщина,Фора-580 Володимирська,1]" u="1" c="Крюківщина,Фора-580 Володимирська,1"/>
        <s v="[Store_directory].[Назва магазину].&amp;[Тарасівка,Фора-586 Шевченка,178А]" u="1" c="Тарасівка,Фора-586 Шевченка,178А"/>
        <s v="[Store_directory].[Назва магазину].&amp;[Станишівська,Фора-566 Комплекс будівель,38]" u="1" c="Станишівська,Фора-566 Комплекс будівель,38"/>
        <s v="[Store_directory].[Назва магазину].&amp;[Житомир,Фора-585 Чуднівська,94]" u="1" c="Житомир,Фора-585 Чуднівська,94"/>
        <s v="[Store_directory].[Назва магазину].&amp;[Золотоноша,Фора-579 Шевченка,76Б]" u="1" c="Золотоноша,Фора-579 Шевченка,76Б"/>
      </sharedItems>
    </cacheField>
    <cacheField name="[Store_directory].[Дата відкриття].[Дата відкриття]" caption="Дата відкриття" numFmtId="0" hierarchy="38" level="1">
      <sharedItems count="219">
        <s v="[Store_directory].[Дата відкриття].&amp;[2004-12-19T00:00:00]" c="19.12.2004"/>
        <s v="[Store_directory].[Дата відкриття].&amp;[2005-02-21T00:00:00]" c="21.02.2005"/>
        <s v="[Store_directory].[Дата відкриття].&amp;[2005-02-14T00:00:00]" c="14.02.2005"/>
        <s v="[Store_directory].[Дата відкриття].&amp;[2005-08-12T00:00:00]" c="12.08.2005"/>
        <s v="[Store_directory].[Дата відкриття].&amp;[2005-11-25T00:00:00]" c="25.11.2005"/>
        <s v="[Store_directory].[Дата відкриття].&amp;[2021-07-15T00:00:00]" c="15.07.2021"/>
        <s v="[Store_directory].[Дата відкриття].&amp;[2006-04-29T00:00:00]" c="29.04.2006"/>
        <s v="[Store_directory].[Дата відкриття].&amp;[2006-07-28T00:00:00]" c="28.07.2006"/>
        <s v="[Store_directory].[Дата відкриття].&amp;[2006-12-16T00:00:00]" c="16.12.2006"/>
        <s v="[Store_directory].[Дата відкриття].&amp;[2007-06-07T00:00:00]" c="07.06.2007"/>
        <s v="[Store_directory].[Дата відкриття].&amp;[2023-11-09T00:00:00]" c="09.11.2023"/>
        <s v="[Store_directory].[Дата відкриття].&amp;[2023-05-18T00:00:00]" c="18.05.2023"/>
        <s v="[Store_directory].[Дата відкриття].&amp;[2024-12-30T00:00:00]" c="30.12.2024"/>
        <s v="[Store_directory].[Дата відкриття].&amp;[2022-07-05T00:00:00]" c="05.07.2022"/>
        <s v="[Store_directory].[Дата відкриття].&amp;[2007-10-16T00:00:00]" c="16.10.2007"/>
        <s v="[Store_directory].[Дата відкриття].&amp;[2008-10-03T00:00:00]" c="03.10.2008"/>
        <s v="[Store_directory].[Дата відкриття].&amp;[2008-12-10T00:00:00]" c="10.12.2008"/>
        <s v="[Store_directory].[Дата відкриття].&amp;[2008-12-16T00:00:00]" c="16.12.2008"/>
        <s v="[Store_directory].[Дата відкриття].&amp;[2010-02-12T00:00:00]" c="12.02.2010"/>
        <s v="[Store_directory].[Дата відкриття].&amp;[2011-06-06T00:00:00]" c="06.06.2011"/>
        <s v="[Store_directory].[Дата відкриття].&amp;[2011-04-14T00:00:00]" c="14.04.2011"/>
        <s v="[Store_directory].[Дата відкриття].&amp;[2011-03-11T00:00:00]" c="11.03.2011"/>
        <s v="[Store_directory].[Дата відкриття].&amp;[2011-09-20T00:00:00]" c="20.09.2011"/>
        <s v="[Store_directory].[Дата відкриття].&amp;[2011-12-22T00:00:00]" c="22.12.2011"/>
        <s v="[Store_directory].[Дата відкриття].&amp;[2012-05-25T00:00:00]" c="25.05.2012"/>
        <s v="[Store_directory].[Дата відкриття].&amp;[2012-08-02T00:00:00]" c="02.08.2012"/>
        <s v="[Store_directory].[Дата відкриття].&amp;[2012-09-27T00:00:00]" c="27.09.2012"/>
        <s v="[Store_directory].[Дата відкриття].&amp;[2012-11-22T00:00:00]" c="22.11.2012"/>
        <s v="[Store_directory].[Дата відкриття].&amp;[2012-11-08T00:00:00]" c="08.11.2012"/>
        <s v="[Store_directory].[Дата відкриття].&amp;[2012-11-29T00:00:00]" c="29.11.2012"/>
        <s v="[Store_directory].[Дата відкриття].&amp;[2012-12-20T00:00:00]" c="20.12.2012"/>
        <s v="[Store_directory].[Дата відкриття].&amp;[2012-11-16T00:00:00]" c="16.11.2012"/>
        <s v="[Store_directory].[Дата відкриття].&amp;[2012-11-23T00:00:00]" c="23.11.2012"/>
        <s v="[Store_directory].[Дата відкриття].&amp;[2012-12-07T00:00:00]" c="07.12.2012"/>
        <s v="[Store_directory].[Дата відкриття].&amp;[2013-02-21T00:00:00]" c="21.02.2013"/>
        <s v="[Store_directory].[Дата відкриття].&amp;[2013-03-22T00:00:00]" c="22.03.2013"/>
        <s v="[Store_directory].[Дата відкриття].&amp;[2013-04-11T00:00:00]" c="11.04.2013"/>
        <s v="[Store_directory].[Дата відкриття].&amp;[2013-04-26T00:00:00]" c="26.04.2013"/>
        <s v="[Store_directory].[Дата відкриття].&amp;[2013-11-29T00:00:00]" c="29.11.2013"/>
        <s v="[Store_directory].[Дата відкриття].&amp;[2013-11-15T00:00:00]" c="15.11.2013"/>
        <s v="[Store_directory].[Дата відкриття].&amp;[2013-06-27T00:00:00]" c="27.06.2013"/>
        <s v="[Store_directory].[Дата відкриття].&amp;[2013-08-02T00:00:00]" c="02.08.2013"/>
        <s v="[Store_directory].[Дата відкриття].&amp;[2013-07-11T00:00:00]" c="11.07.2013"/>
        <s v="[Store_directory].[Дата відкриття].&amp;[2013-08-29T00:00:00]" c="29.08.2013"/>
        <s v="[Store_directory].[Дата відкриття].&amp;[2013-10-18T00:00:00]" c="18.10.2013"/>
        <s v="[Store_directory].[Дата відкриття].&amp;[2013-11-20T00:00:00]" c="20.11.2013"/>
        <s v="[Store_directory].[Дата відкриття].&amp;[2014-01-31T00:00:00]" c="31.01.2014"/>
        <s v="[Store_directory].[Дата відкриття].&amp;[2014-03-28T00:00:00]" c="28.03.2014"/>
        <s v="[Store_directory].[Дата відкриття].&amp;[2014-04-18T00:00:00]" c="18.04.2014"/>
        <s v="[Store_directory].[Дата відкриття].&amp;[2014-05-22T00:00:00]" c="22.05.2014"/>
        <s v="[Store_directory].[Дата відкриття].&amp;[2014-06-05T00:00:00]" c="05.06.2014"/>
        <s v="[Store_directory].[Дата відкриття].&amp;[2014-06-20T00:00:00]" c="20.06.2014"/>
        <s v="[Store_directory].[Дата відкриття].&amp;[2014-09-12T00:00:00]" c="12.09.2014"/>
        <s v="[Store_directory].[Дата відкриття].&amp;[2014-10-09T00:00:00]" c="09.10.2014"/>
        <s v="[Store_directory].[Дата відкриття].&amp;[2014-08-28T00:00:00]" c="28.08.2014"/>
        <s v="[Store_directory].[Дата відкриття].&amp;[2014-10-24T00:00:00]" c="24.10.2014"/>
        <s v="[Store_directory].[Дата відкриття].&amp;[2014-11-27T00:00:00]" c="27.11.2014"/>
        <s v="[Store_directory].[Дата відкриття].&amp;[2014-12-11T00:00:00]" c="11.12.2014"/>
        <s v="[Store_directory].[Дата відкриття].&amp;[2014-12-05T00:00:00]" c="05.12.2014"/>
        <s v="[Store_directory].[Дата відкриття].&amp;[2014-12-25T00:00:00]" c="25.12.2014"/>
        <s v="[Store_directory].[Дата відкриття].&amp;[2015-04-03T00:00:00]" c="03.04.2015"/>
        <s v="[Store_directory].[Дата відкриття].&amp;[2015-04-22T00:00:00]" c="22.04.2015"/>
        <s v="[Store_directory].[Дата відкриття].&amp;[2015-03-11T00:00:00]" c="11.03.2015"/>
        <s v="[Store_directory].[Дата відкриття].&amp;[2015-04-29T00:00:00]" c="29.04.2015"/>
        <s v="[Store_directory].[Дата відкриття].&amp;[2015-06-02T00:00:00]" c="02.06.2015"/>
        <s v="[Store_directory].[Дата відкриття].&amp;[2015-05-21T00:00:00]" c="21.05.2015"/>
        <s v="[Store_directory].[Дата відкриття].&amp;[2015-06-17T00:00:00]" c="17.06.2015"/>
        <s v="[Store_directory].[Дата відкриття].&amp;[2015-07-22T00:00:00]" c="22.07.2015"/>
        <s v="[Store_directory].[Дата відкриття].&amp;[2015-08-12T00:00:00]" c="12.08.2015"/>
        <s v="[Store_directory].[Дата відкриття].&amp;[2015-12-03T00:00:00]" c="03.12.2015"/>
        <s v="[Store_directory].[Дата відкриття].&amp;[2015-12-15T00:00:00]" c="15.12.2015"/>
        <s v="[Store_directory].[Дата відкриття].&amp;[2015-11-25T00:00:00]" c="25.11.2015"/>
        <s v="[Store_directory].[Дата відкриття].&amp;[2016-08-09T00:00:00]" c="09.08.2016"/>
        <s v="[Store_directory].[Дата відкриття].&amp;[2015-12-18T00:00:00]" c="18.12.2015"/>
        <s v="[Store_directory].[Дата відкриття].&amp;[2015-12-24T00:00:00]" c="24.12.2015"/>
        <s v="[Store_directory].[Дата відкриття].&amp;[2016-02-17T00:00:00]" c="17.02.2016"/>
        <s v="[Store_directory].[Дата відкриття].&amp;[2016-06-02T00:00:00]" c="02.06.2016"/>
        <s v="[Store_directory].[Дата відкриття].&amp;[2016-05-19T00:00:00]" c="19.05.2016"/>
        <s v="[Store_directory].[Дата відкриття].&amp;[2016-06-21T00:00:00]" c="21.06.2016"/>
        <s v="[Store_directory].[Дата відкриття].&amp;[2016-09-24T00:00:00]" c="24.09.2016"/>
        <s v="[Store_directory].[Дата відкриття].&amp;[2016-08-11T00:00:00]" c="11.08.2016"/>
        <s v="[Store_directory].[Дата відкриття].&amp;[2016-09-28T00:00:00]" c="28.09.2016"/>
        <s v="[Store_directory].[Дата відкриття].&amp;[2016-12-01T00:00:00]" c="01.12.2016"/>
        <s v="[Store_directory].[Дата відкриття].&amp;[2017-05-11T00:00:00]" c="11.05.2017"/>
        <s v="[Store_directory].[Дата відкриття].&amp;[2017-05-10T00:00:00]" c="10.05.2017"/>
        <s v="[Store_directory].[Дата відкриття].&amp;[2017-04-19T00:00:00]" c="19.04.2017"/>
        <s v="[Store_directory].[Дата відкриття].&amp;[2017-06-21T00:00:00]" c="21.06.2017"/>
        <s v="[Store_directory].[Дата відкриття].&amp;[2017-08-11T00:00:00]" c="11.08.2017"/>
        <s v="[Store_directory].[Дата відкриття].&amp;[2017-11-03T00:00:00]" c="03.11.2017"/>
        <s v="[Store_directory].[Дата відкриття].&amp;[2017-11-22T00:00:00]" c="22.11.2017"/>
        <s v="[Store_directory].[Дата відкриття].&amp;[2019-06-25T00:00:00]" c="25.06.2019"/>
        <s v="[Store_directory].[Дата відкриття].&amp;[2020-02-06T00:00:00]" c="06.02.2020"/>
        <s v="[Store_directory].[Дата відкриття].&amp;[2020-09-25T00:00:00]" c="25.09.2020"/>
        <s v="[Store_directory].[Дата відкриття].&amp;[2021-04-29T00:00:00]" c="29.04.2021"/>
        <s v="[Store_directory].[Дата відкриття].&amp;[2021-03-29T00:00:00]" c="29.03.2021"/>
        <s v="[Store_directory].[Дата відкриття].&amp;[2022-07-04T00:00:00]" c="04.07.2022"/>
        <s v="[Store_directory].[Дата відкриття].&amp;[2021-11-24T00:00:00]" c="24.11.2021"/>
        <s v="[Store_directory].[Дата відкриття].&amp;[2021-07-14T00:00:00]" c="14.07.2021"/>
        <s v="[Store_directory].[Дата відкриття].&amp;[2021-12-25T00:00:00]" c="25.12.2021"/>
        <s v="[Store_directory].[Дата відкриття].&amp;[2021-10-21T00:00:00]" c="21.10.2021"/>
        <s v="[Store_directory].[Дата відкриття].&amp;[2022-02-06T00:00:00]" c="06.02.2022"/>
        <s v="[Store_directory].[Дата відкриття].&amp;[2021-11-29T00:00:00]" c="29.11.2021"/>
        <s v="[Store_directory].[Дата відкриття].&amp;[2021-11-19T00:00:00]" c="19.11.2021"/>
        <s v="[Store_directory].[Дата відкриття].&amp;[2022-01-28T00:00:00]" c="28.01.2022"/>
        <s v="[Store_directory].[Дата відкриття].&amp;[2022-08-31T00:00:00]" c="31.08.2022"/>
        <s v="[Store_directory].[Дата відкриття].&amp;[2022-09-26T00:00:00]" c="26.09.2022"/>
        <s v="[Store_directory].[Дата відкриття].&amp;[2023-08-23T00:00:00]" c="23.08.2023"/>
        <s v="[Store_directory].[Дата відкриття].&amp;[2025-08-13T00:00:00]" c="13.08.2025"/>
        <s v="[Store_directory].[Дата відкриття].&amp;[2022-07-18T00:00:00]" c="18.07.2022"/>
        <s v="[Store_directory].[Дата відкриття].&amp;[2023-03-18T00:00:00]" c="18.03.2023"/>
        <s v="[Store_directory].[Дата відкриття].&amp;[2022-12-10T00:00:00]" c="10.12.2022"/>
        <s v="[Store_directory].[Дата відкриття].&amp;[2023-04-12T00:00:00]" c="12.04.2023"/>
        <s v="[Store_directory].[Дата відкриття].&amp;[2023-06-07T00:00:00]" c="07.06.2023"/>
        <s v="[Store_directory].[Дата відкриття].&amp;[2023-09-28T00:00:00]" c="28.09.2023"/>
        <s v="[Store_directory].[Дата відкриття].&amp;[2023-09-21T00:00:00]" c="21.09.2023"/>
        <s v="[Store_directory].[Дата відкриття].&amp;[2023-11-24T00:00:00]" c="24.11.2023"/>
        <s v="[Store_directory].[Дата відкриття].&amp;[2023-11-29T00:00:00]" c="29.11.2023"/>
        <s v="[Store_directory].[Дата відкриття].&amp;[2024-06-07T00:00:00]" c="07.06.2024"/>
        <s v="[Store_directory].[Дата відкриття].&amp;[2023-12-13T00:00:00]" c="13.12.2023"/>
        <s v="[Store_directory].[Дата відкриття].&amp;[2024-05-02T00:00:00]" c="02.05.2024"/>
        <s v="[Store_directory].[Дата відкриття].&amp;[2025-11-20T00:00:00]" c="20.11.2025"/>
        <s v="[Store_directory].[Дата відкриття].&amp;[2024-08-17T00:00:00]" c="17.08.2024"/>
        <s v="[Store_directory].[Дата відкриття].&amp;[2025-04-19T00:00:00]" c="19.04.2025"/>
        <s v="[Store_directory].[Дата відкриття].&amp;[2024-12-26T00:00:00]" c="26.12.2024"/>
        <s v="[Store_directory].[Дата відкриття].&amp;[2024-10-03T00:00:00]" c="03.10.2024"/>
        <s v="[Store_directory].[Дата відкриття].&amp;[2025-06-06T00:00:00]" c="06.06.2025"/>
        <s v="[Store_directory].[Дата відкриття].&amp;[2024-04-19T00:00:00]" c="19.04.2024"/>
        <s v="[Store_directory].[Дата відкриття].&amp;[2024-09-13T00:00:00]" c="13.09.2024"/>
        <s v="[Store_directory].[Дата відкриття].&amp;[2024-09-27T00:00:00]" c="27.09.2024"/>
        <s v="[Store_directory].[Дата відкриття].&amp;[2025-01-30T00:00:00]" c="30.01.2025"/>
        <s v="[Store_directory].[Дата відкриття].&amp;[2025-04-04T00:00:00]" c="04.04.2025"/>
        <s v="[Store_directory].[Дата відкриття].&amp;[2024-11-15T00:00:00]" c="15.11.2024"/>
        <s v="[Store_directory].[Дата відкриття].&amp;[2025-12-29T00:00:00]" c="29.12.2025"/>
        <s v="[Store_directory].[Дата відкриття].&amp;[2025-05-02T00:00:00]" c="02.05.2025"/>
        <s v="[Store_directory].[Дата відкриття].&amp;[2025-12-26T00:00:00]" c="26.12.2025"/>
        <s v="[Store_directory].[Дата відкриття].&amp;[2025-11-28T00:00:00]" c="28.11.2025"/>
        <s v="[Store_directory].[Дата відкриття].&amp;[2025-12-30T00:00:00]" c="30.12.2025"/>
        <s v="[Store_directory].[Дата відкриття].&amp;[2025-06-27T00:00:00]" c="27.06.2025"/>
        <s v="[Store_directory].[Дата відкриття].&amp;[2025-12-02T00:00:00]" c="02.12.2025"/>
        <s v="[Store_directory].[Дата відкриття].&amp;[2025-08-02T00:00:00]" c="02.08.2025"/>
        <s v="[Store_directory].[Дата відкриття].&amp;[2025-12-20T00:00:00]" c="20.12.2025"/>
        <s v="[Store_directory].[Дата відкриття].&amp;[2010-09-04T00:00:00]" c="04.09.2010"/>
        <s v="[Store_directory].[Дата відкриття].&amp;[2011-05-12T00:00:00]" c="12.05.2011"/>
        <s v="[Store_directory].[Дата відкриття].&amp;[2011-07-01T00:00:00]" c="01.07.2011"/>
        <s v="[Store_directory].[Дата відкриття].&amp;[2020-03-05T00:00:00]" c="05.03.2020"/>
        <s v="[Store_directory].[Дата відкриття].&amp;[2021-08-10T00:00:00]" c="10.08.2021"/>
        <s v="[Store_directory].[Дата відкриття].&amp;[2022-11-08T00:00:00]" c="08.11.2022"/>
        <s v="[Store_directory].[Дата відкриття].&amp;[2022-11-30T00:00:00]" c="30.11.2022"/>
        <s v="[Store_directory].[Дата відкриття].&amp;[2023-05-10T00:00:00]" c="10.05.2023"/>
        <s v="[Store_directory].[Дата відкриття].&amp;[2024-12-19T00:00:00]" c="19.12.2024"/>
        <s v="[Store_directory].[Дата відкриття].&amp;[2023-12-21T00:00:00]" c="21.12.2023"/>
        <s v="[Store_directory].[Дата відкриття].&amp;[2024-12-17T00:00:00]" c="17.12.2024"/>
        <s v="[Store_directory].[Дата відкриття].&amp;[2025-07-04T00:00:00]" c="04.07.2025"/>
        <s v="[Store_directory].[Дата відкриття].&amp;[2026-02-14T00:00:00]" c="14.02.2026"/>
        <s v="[Store_directory].[Дата відкриття].&amp;[2025-10-09T00:00:00]" c="09.10.2025"/>
        <s v="[Store_directory].[Дата відкриття].&amp;[2025-09-04T00:00:00]" c="04.09.2025"/>
        <s v="[Store_directory].[Дата відкриття].&amp;[2008-04-20T00:00:00]" c="20.04.2008"/>
        <s v="[Store_directory].[Дата відкриття].&amp;[2008-08-28T00:00:00]" c="28.08.2008"/>
        <s v="[Store_directory].[Дата відкриття].&amp;[2010-07-08T00:00:00]" c="08.07.2010"/>
        <s v="[Store_directory].[Дата відкриття].&amp;[2011-12-15T00:00:00]" c="15.12.2011"/>
        <s v="[Store_directory].[Дата відкриття].&amp;[2013-11-30T00:00:00]" c="30.11.2013"/>
        <s v="[Store_directory].[Дата відкриття].&amp;[2014-05-16T00:00:00]" c="16.05.2014"/>
        <s v="[Store_directory].[Дата відкриття].&amp;[2014-03-11T00:00:00]" c="11.03.2014"/>
        <s v="[Store_directory].[Дата відкриття].&amp;[2016-03-09T00:00:00]" c="09.03.2016"/>
        <s v="[Store_directory].[Дата відкриття].&amp;[2025-06-13T00:00:00]" c="13.06.2025"/>
        <s v="[Store_directory].[Дата відкриття].&amp;[2025-06-07T00:00:00]" c="07.06.2025"/>
        <s v="[Store_directory].[Дата відкриття].&amp;[2023-05-27T00:00:00]" c="27.05.2023"/>
        <s v="[Store_directory].[Дата відкриття].&amp;[2023-12-26T00:00:00]" c="26.12.2023"/>
        <s v="[Store_directory].[Дата відкриття].&amp;[2023-08-02T00:00:00]" c="02.08.2023"/>
        <s v="[Store_directory].[Дата відкриття].&amp;[2024-12-27T00:00:00]" c="27.12.2024"/>
        <s v="[Store_directory].[Дата відкриття].&amp;[2024-12-25T00:00:00]" c="25.12.2024"/>
        <s v="[Store_directory].[Дата відкриття].&amp;[2025-12-28T00:00:00]" c="28.12.2025"/>
        <s v="[Store_directory].[Дата відкриття].&amp;[2012-12-25T00:00:00]" c="25.12.2012"/>
        <s v="[Store_directory].[Дата відкриття].&amp;[2013-04-29T00:00:00]" c="29.04.2013"/>
        <s v="[Store_directory].[Дата відкриття].&amp;[2025-04-11T00:00:00]" c="11.04.2025"/>
        <s v="[Store_directory].[Дата відкриття].&amp;[2023-04-13T00:00:00]" c="13.04.2023"/>
        <s v="[Store_directory].[Дата відкриття].&amp;[2023-06-30T00:00:00]" c="30.06.2023"/>
        <s v="[Store_directory].[Дата відкриття].&amp;[2023-07-12T00:00:00]" c="12.07.2023"/>
        <s v="[Store_directory].[Дата відкриття].&amp;[2023-07-13T00:00:00]" c="13.07.2023"/>
        <s v="[Store_directory].[Дата відкриття].&amp;[2023-08-03T00:00:00]" c="03.08.2023"/>
        <s v="[Store_directory].[Дата відкриття].&amp;[2024-03-08T00:00:00]" c="08.03.2024"/>
        <s v="[Store_directory].[Дата відкриття].&amp;[2023-11-06T00:00:00]" c="06.11.2023"/>
        <s v="[Store_directory].[Дата відкриття].&amp;[2024-10-11T00:00:00]" c="11.10.2024"/>
        <s v="[Store_directory].[Дата відкриття].&amp;[2024-06-21T00:00:00]" c="21.06.2024"/>
        <s v="[Store_directory].[Дата відкриття].&amp;[2023-05-11T00:00:00]" c="11.05.2023"/>
        <s v="[Store_directory].[Дата відкриття].&amp;[2024-02-09T00:00:00]" c="09.02.2024"/>
        <s v="[Store_directory].[Дата відкриття].&amp;[2026-02-27T00:00:00]" c="27.02.2026"/>
        <s v="[Store_directory].[Дата відкриття].&amp;[2024-07-04T00:00:00]" c="04.07.2024"/>
        <s v="[Store_directory].[Дата відкриття].&amp;[2014-04-11T00:00:00]" c="11.04.2014"/>
        <s v="[Store_directory].[Дата відкриття].&amp;[2024-11-09T00:00:00]" c="09.11.2024"/>
        <s v="[Store_directory].[Дата відкриття].&amp;[2024-10-17T00:00:00]" c="17.10.2024"/>
        <s v="[Store_directory].[Дата відкриття].&amp;[2023-09-27T00:00:00]" c="27.09.2023"/>
        <s v="[Store_directory].[Дата відкриття].&amp;[2023-11-30T00:00:00]" c="30.11.2023"/>
        <s v="[Store_directory].[Дата відкриття].&amp;[2021-12-24T00:00:00]" c="24.12.2021"/>
        <s v="[Store_directory].[Дата відкриття].&amp;[2017-08-22T00:00:00]" c="22.08.2017"/>
        <s v="[Store_directory].[Дата відкриття].&amp;[2019-06-06T00:00:00]" c="06.06.2019"/>
        <s v="[Store_directory].[Дата відкриття].&amp;[2020-01-29T00:00:00]" c="29.01.2020"/>
        <s v="[Store_directory].[Дата відкриття].&amp;[2020-04-24T00:00:00]" c="24.04.2020"/>
        <s v="[Store_directory].[Дата відкриття].&amp;[2020-09-15T00:00:00]" c="15.09.2020"/>
        <s v="[Store_directory].[Дата відкриття].&amp;[2020-12-08T00:00:00]" c="08.12.2020"/>
        <s v="[Store_directory].[Дата відкриття].&amp;[2021-02-04T00:00:00]" c="04.02.2021"/>
        <s v="[Store_directory].[Дата відкриття].&amp;[2021-04-05T00:00:00]" c="05.04.2021"/>
        <s v="[Store_directory].[Дата відкриття].&amp;[2021-05-01T00:00:00]" c="01.05.2021"/>
        <s v="[Store_directory].[Дата відкриття].&amp;[2021-05-26T00:00:00]" c="26.05.2021"/>
        <s v="[Store_directory].[Дата відкриття].&amp;[2021-07-22T00:00:00]" c="22.07.2021"/>
        <s v="[Store_directory].[Дата відкриття].&amp;[2021-07-19T00:00:00]" c="19.07.2021"/>
        <s v="[Store_directory].[Дата відкриття].&amp;[2021-10-08T00:00:00]" c="08.10.2021"/>
        <s v="[Store_directory].[Дата відкриття].&amp;[2021-12-18T00:00:00]" c="18.12.2021"/>
        <s v="[Store_directory].[Дата відкриття].&amp;[2024-02-01T00:00:00]" c="01.02.2024"/>
        <s v="[Store_directory].[Дата відкриття].&amp;[2024-03-29T00:00:00]" c="29.03.2024"/>
        <s v="[Store_directory].[Дата відкриття].&amp;[2024-04-18T00:00:00]" c="18.04.2024"/>
        <s v="[Store_directory].[Дата відкриття].&amp;[2024-04-27T00:00:00]" c="27.04.2024"/>
        <s v="[Store_directory].[Дата відкриття].&amp;[2025-08-17T00:00:00]" c="17.08.2025"/>
        <s v="[Store_directory].[Дата відкриття].&amp;[2025-09-05T00:00:00]" c="05.09.2025"/>
        <s v="[Store_directory].[Дата відкриття].&amp;[2025-09-25T00:00:00]" c="25.09.2025"/>
        <s v="[Store_directory].[Дата відкриття].&amp;[2025-09-30T00:00:00]" c="30.09.2025"/>
        <s v="[Store_directory].[Дата відкриття].&amp;[2025-11-09T00:00:00]" c="09.11.2025"/>
        <s v="[Store_directory].[Дата відкриття].&amp;[2025-08-23T00:00:00]" c="23.08.2025"/>
        <s v="[Store_directory].[Дата відкриття].&amp;" u="1" c=""/>
      </sharedItems>
    </cacheField>
    <cacheField name="[Store_directory].[Власність].[Власність]" caption="Власність" numFmtId="0" hierarchy="37" level="1">
      <sharedItems containsSemiMixedTypes="0" containsString="0"/>
    </cacheField>
    <cacheField name="[Calendar_].[month].[month]" caption="month" numFmtId="0" hierarchy="2" level="1">
      <sharedItems count="6">
        <s v="[Calendar_].[month].&amp;[1]" c="1"/>
        <s v="[Calendar_].[month].&amp;[2]" c="2"/>
        <s v="[Calendar_].[month].&amp;[3]" c="3"/>
        <s v="[Calendar_].[month].&amp;[4]" c="4"/>
        <s v="[Calendar_].[month].&amp;[5]" c="5"/>
        <s v="[Calendar_].[month].&amp;[6]" c="6"/>
      </sharedItems>
    </cacheField>
  </cacheFields>
  <cacheHierarchies count="86">
    <cacheHierarchy uniqueName="[Calendar_].[DateFull]" caption="DateFull" attribute="1" time="1" keyAttribute="1" defaultMemberUniqueName="[Calendar_].[DateFull].[All]" allUniqueName="[Calendar_].[DateFull].[All]" dimensionUniqueName="[Calendar_]" displayFolder="" count="0" memberValueDatatype="7" unbalanced="0"/>
    <cacheHierarchy uniqueName="[Calendar_].[day]" caption="day" attribute="1" time="1" defaultMemberUniqueName="[Calendar_].[day].[All]" allUniqueName="[Calendar_].[day].[All]" dimensionUniqueName="[Calendar_]" displayFolder="" count="0" unbalanced="0"/>
    <cacheHierarchy uniqueName="[Calendar_].[month]" caption="month" attribute="1" time="1" defaultMemberUniqueName="[Calendar_].[month].[All]" allUniqueName="[Calendar_].[month].[All]" dimensionUniqueName="[Calendar_]" displayFolder="" count="2" unbalanced="0">
      <fieldsUsage count="2">
        <fieldUsage x="-1"/>
        <fieldUsage x="9"/>
      </fieldsUsage>
    </cacheHierarchy>
    <cacheHierarchy uniqueName="[Calendar_].[quarter]" caption="quarter" attribute="1" time="1" defaultMemberUniqueName="[Calendar_].[quarter].[All]" allUniqueName="[Calendar_].[quarter].[All]" dimensionUniqueName="[Calendar_]" displayFolder="" count="0" unbalanced="0"/>
    <cacheHierarchy uniqueName="[Calendar_].[quarterMonth]" caption="quarterMonth" attribute="1" time="1" defaultMemberUniqueName="[Calendar_].[quarterMonth].[All]" allUniqueName="[Calendar_].[quarterMonth].[All]" dimensionUniqueName="[Calendar_]" displayFolder="" count="0" unbalanced="0"/>
    <cacheHierarchy uniqueName="[Calendar_].[sortByMonth]" caption="sortByMonth" attribute="1" time="1" defaultMemberUniqueName="[Calendar_].[sortByMonth].[All]" allUniqueName="[Calendar_].[sortByMonth].[All]" dimensionUniqueName="[Calendar_]" displayFolder="" count="0" unbalanced="0"/>
    <cacheHierarchy uniqueName="[Calendar_].[UA_FullMonthWithYear]" caption="UA_FullMonthWithYear" attribute="1" time="1" defaultMemberUniqueName="[Calendar_].[UA_FullMonthWithYear].[All]" allUniqueName="[Calendar_].[UA_FullMonthWithYear].[All]" dimensionUniqueName="[Calendar_]" displayFolder="" count="0" unbalanced="0"/>
    <cacheHierarchy uniqueName="[Calendar_].[UA_MonthOfYear]" caption="UA_MonthOfYear" attribute="1" time="1" defaultMemberUniqueName="[Calendar_].[UA_MonthOfYear].[All]" allUniqueName="[Calendar_].[UA_MonthOfYear].[All]" dimensionUniqueName="[Calendar_]" displayFolder="" count="0" unbalanced="0"/>
    <cacheHierarchy uniqueName="[Calendar_].[UA_ShortMonth]" caption="UA_ShortMonth" attribute="1" time="1" defaultMemberUniqueName="[Calendar_].[UA_ShortMonth].[All]" allUniqueName="[Calendar_].[UA_ShortMonth].[All]" dimensionUniqueName="[Calendar_]" displayFolder="" count="0" unbalanced="0"/>
    <cacheHierarchy uniqueName="[Calendar_].[UA_ShortMonthWithYear]" caption="UA_ShortMonthWithYear" attribute="1" time="1" defaultMemberUniqueName="[Calendar_].[UA_ShortMonthWithYear].[All]" allUniqueName="[Calendar_].[UA_ShortMonthWithYear].[All]" dimensionUniqueName="[Calendar_]" displayFolder="" count="0" unbalanced="0"/>
    <cacheHierarchy uniqueName="[Calendar_].[year]" caption="year" attribute="1" time="1" defaultMemberUniqueName="[Calendar_].[year].[All]" allUniqueName="[Calendar_].[year].[All]" dimensionUniqueName="[Calendar_]" displayFolder="" count="2" unbalanced="0">
      <fieldsUsage count="2">
        <fieldUsage x="-1"/>
        <fieldUsage x="3"/>
      </fieldsUsage>
    </cacheHierarchy>
    <cacheHierarchy uniqueName="[fin_percent_rent].[mvz_id]" caption="mvz_id" attribute="1" defaultMemberUniqueName="[fin_percent_rent].[mvz_id].[All]" allUniqueName="[fin_percent_rent].[mvz_id].[All]" dimensionUniqueName="[fin_percent_rent]" displayFolder="" count="0" unbalanced="0"/>
    <cacheHierarchy uniqueName="[fin_percent_rent].[name_store]" caption="name_store" attribute="1" defaultMemberUniqueName="[fin_percent_rent].[name_store].[All]" allUniqueName="[fin_percent_rent].[name_store].[All]" dimensionUniqueName="[fin_percent_rent]" displayFolder="" count="0" unbalanced="0"/>
    <cacheHierarchy uniqueName="[fin_percent_rent].[percent_vid_TO]" caption="percent_vid_TO" attribute="1" defaultMemberUniqueName="[fin_percent_rent].[percent_vid_TO].[All]" allUniqueName="[fin_percent_rent].[percent_vid_TO].[All]" dimensionUniqueName="[fin_percent_rent]" displayFolder="" count="0" unbalanced="0"/>
    <cacheHierarchy uniqueName="[fin_percent_rent].[year]" caption="year" attribute="1" defaultMemberUniqueName="[fin_percent_rent].[year].[All]" allUniqueName="[fin_percent_rent].[year].[All]" dimensionUniqueName="[fin_percent_rent]" displayFolder="" count="2" unbalanced="0">
      <fieldsUsage count="2">
        <fieldUsage x="-1"/>
        <fieldUsage x="2"/>
      </fieldsUsage>
    </cacheHierarchy>
    <cacheHierarchy uniqueName="[Orenda_plan_fact].[a_plan]" caption="a_plan" attribute="1" defaultMemberUniqueName="[Orenda_plan_fact].[a_plan].[All]" allUniqueName="[Orenda_plan_fact].[a_plan].[All]" dimensionUniqueName="[Orenda_plan_fact]" displayFolder="" count="0" unbalanced="0"/>
    <cacheHierarchy uniqueName="[Orenda_plan_fact].[article_code]" caption="article_code" attribute="1" defaultMemberUniqueName="[Orenda_plan_fact].[article_code].[All]" allUniqueName="[Orenda_plan_fact].[article_code].[All]" dimensionUniqueName="[Orenda_plan_fact]" displayFolder="" count="0" unbalanced="0"/>
    <cacheHierarchy uniqueName="[Orenda_plan_fact].[ArticleCode_Title]" caption="ArticleCode_Title" attribute="1" defaultMemberUniqueName="[Orenda_plan_fact].[ArticleCode_Title].[All]" allUniqueName="[Orenda_plan_fact].[ArticleCode_Title].[All]" dimensionUniqueName="[Orenda_plan_fact]" displayFolder="" count="0" unbalanced="0"/>
    <cacheHierarchy uniqueName="[Orenda_plan_fact].[Date]" caption="Date" attribute="1" defaultMemberUniqueName="[Orenda_plan_fact].[Date].[All]" allUniqueName="[Orenda_plan_fact].[Date].[All]" dimensionUniqueName="[Orenda_plan_fact]" displayFolder="" count="0" unbalanced="0"/>
    <cacheHierarchy uniqueName="[Orenda_plan_fact].[date_opening]" caption="date_opening" attribute="1" defaultMemberUniqueName="[Orenda_plan_fact].[date_opening].[All]" allUniqueName="[Orenda_plan_fact].[date_opening].[All]" dimensionUniqueName="[Orenda_plan_fact]" displayFolder="" count="0" unbalanced="0"/>
    <cacheHierarchy uniqueName="[Orenda_plan_fact].[format]" caption="format" attribute="1" defaultMemberUniqueName="[Orenda_plan_fact].[format].[All]" allUniqueName="[Orenda_plan_fact].[format].[All]" dimensionUniqueName="[Orenda_plan_fact]" displayFolder="" count="0" unbalanced="0"/>
    <cacheHierarchy uniqueName="[Orenda_plan_fact].[groupCost]" caption="groupCost" attribute="1" defaultMemberUniqueName="[Orenda_plan_fact].[groupCost].[All]" allUniqueName="[Orenda_plan_fact].[groupCost].[All]" dimensionUniqueName="[Orenda_plan_fact]" displayFolder="" count="2" unbalanced="0">
      <fieldsUsage count="2">
        <fieldUsage x="-1"/>
        <fieldUsage x="1"/>
      </fieldsUsage>
    </cacheHierarchy>
    <cacheHierarchy uniqueName="[Orenda_plan_fact].[mapping_rent]" caption="mapping_rent" attribute="1" defaultMemberUniqueName="[Orenda_plan_fact].[mapping_rent].[All]" allUniqueName="[Orenda_plan_fact].[mapping_rent].[All]" dimensionUniqueName="[Orenda_plan_fact]" displayFolder="" count="0" unbalanced="0"/>
    <cacheHierarchy uniqueName="[Orenda_plan_fact].[mvv_id]" caption="mvv_id" attribute="1" defaultMemberUniqueName="[Orenda_plan_fact].[mvv_id].[All]" allUniqueName="[Orenda_plan_fact].[mvv_id].[All]" dimensionUniqueName="[Orenda_plan_fact]" displayFolder="" count="0" unbalanced="0"/>
    <cacheHierarchy uniqueName="[Orenda_plan_fact].[refit_closing_date]" caption="refit_closing_date" attribute="1" defaultMemberUniqueName="[Orenda_plan_fact].[refit_closing_date].[All]" allUniqueName="[Orenda_plan_fact].[refit_closing_date].[All]" dimensionUniqueName="[Orenda_plan_fact]" displayFolder="" count="0" unbalanced="0"/>
    <cacheHierarchy uniqueName="[Orenda_plan_fact].[refit_opening_date]" caption="refit_opening_date" attribute="1" defaultMemberUniqueName="[Orenda_plan_fact].[refit_opening_date].[All]" allUniqueName="[Orenda_plan_fact].[refit_opening_date].[All]" dimensionUniqueName="[Orenda_plan_fact]" displayFolder="" count="0" unbalanced="0"/>
    <cacheHierarchy uniqueName="[Orenda_plan_fact].[store_name]" caption="store_name" attribute="1" defaultMemberUniqueName="[Orenda_plan_fact].[store_name].[All]" allUniqueName="[Orenda_plan_fact].[store_name].[All]" dimensionUniqueName="[Orenda_plan_fact]" displayFolder="" count="0" unbalanced="0"/>
    <cacheHierarchy uniqueName="[Orenda_plan_fact].[store_type]" caption="store_type" attribute="1" defaultMemberUniqueName="[Orenda_plan_fact].[store_type].[All]" allUniqueName="[Orenda_plan_fact].[store_type].[All]" dimensionUniqueName="[Orenda_plan_fact]" displayFolder="" count="0" unbalanced="0"/>
    <cacheHierarchy uniqueName="[Orenda_plan_fact].[subformats]" caption="subformats" attribute="1" defaultMemberUniqueName="[Orenda_plan_fact].[subformats].[All]" allUniqueName="[Orenda_plan_fact].[subformats].[All]" dimensionUniqueName="[Orenda_plan_fact]" displayFolder="" count="0" unbalanced="0"/>
    <cacheHierarchy uniqueName="[Orenda_plan_fact].[sum_fact]" caption="sum_fact" attribute="1" defaultMemberUniqueName="[Orenda_plan_fact].[sum_fact].[All]" allUniqueName="[Orenda_plan_fact].[sum_fact].[All]" dimensionUniqueName="[Orenda_plan_fact]" displayFolder="" count="0" unbalanced="0"/>
    <cacheHierarchy uniqueName="[Orenda_plan_fact].[year_id]" caption="year_id" attribute="1" defaultMemberUniqueName="[Orenda_plan_fact].[year_id].[All]" allUniqueName="[Orenda_plan_fact].[year_id].[All]" dimensionUniqueName="[Orenda_plan_fact]" displayFolder="" count="0" unbalanced="0"/>
    <cacheHierarchy uniqueName="[Store_directory].[filialid]" caption="filialid" attribute="1" defaultMemberUniqueName="[Store_directory].[filialid].[All]" allUniqueName="[Store_directory].[filialid].[All]" dimensionUniqueName="[Store_directory]" displayFolder="" count="0" unbalanced="0"/>
    <cacheHierarchy uniqueName="[Store_directory].[Mapping Оренда]" caption="Mapping Оренда" attribute="1" defaultMemberUniqueName="[Store_directory].[Mapping Оренда].[All]" allUniqueName="[Store_directory].[Mapping Оренда].[All]" dimensionUniqueName="[Store_directory]" displayFolder="" count="0" unbalanced="0"/>
    <cacheHierarchy uniqueName="[Store_directory].[Mapping ФОТ]" caption="Mapping ФОТ" attribute="1" defaultMemberUniqueName="[Store_directory].[Mapping ФОТ].[All]" allUniqueName="[Store_directory].[Mapping ФОТ].[All]" dimensionUniqueName="[Store_directory]" displayFolder="" count="0" unbalanced="0"/>
    <cacheHierarchy uniqueName="[Store_directory].[№ п/п3]" caption="№ п/п3" attribute="1" defaultMemberUniqueName="[Store_directory].[№ п/п3].[All]" allUniqueName="[Store_directory].[№ п/п3].[All]" dimensionUniqueName="[Store_directory]" displayFolder="" count="0" unbalanced="0"/>
    <cacheHierarchy uniqueName="[Store_directory].[Вид]" caption="Вид" attribute="1" defaultMemberUniqueName="[Store_directory].[Вид].[All]" allUniqueName="[Store_directory].[Вид].[All]" dimensionUniqueName="[Store_directory]" displayFolder="" count="0" unbalanced="0"/>
    <cacheHierarchy uniqueName="[Store_directory].[Вид МВВ]" caption="Вид МВВ" attribute="1" defaultMemberUniqueName="[Store_directory].[Вид МВВ].[All]" allUniqueName="[Store_directory].[Вид МВВ].[All]" dimensionUniqueName="[Store_directory]" displayFolder="" count="2" unbalanced="0">
      <fieldsUsage count="2">
        <fieldUsage x="-1"/>
        <fieldUsage x="4"/>
      </fieldsUsage>
    </cacheHierarchy>
    <cacheHierarchy uniqueName="[Store_directory].[Власність]" caption="Власність" attribute="1" defaultMemberUniqueName="[Store_directory].[Власність].[All]" allUniqueName="[Store_directory].[Власність].[All]" dimensionUniqueName="[Store_directory]" displayFolder="" count="2" unbalanced="0">
      <fieldsUsage count="2">
        <fieldUsage x="-1"/>
        <fieldUsage x="8"/>
      </fieldsUsage>
    </cacheHierarchy>
    <cacheHierarchy uniqueName="[Store_directory].[Дата відкриття]" caption="Дата відкриття" attribute="1" defaultMemberUniqueName="[Store_directory].[Дата відкриття].[All]" allUniqueName="[Store_directory].[Дата відкриття].[All]" dimensionUniqueName="[Store_directory]" displayFolder="" count="2" unbalanced="0">
      <fieldsUsage count="2">
        <fieldUsage x="-1"/>
        <fieldUsage x="7"/>
      </fieldsUsage>
    </cacheHierarchy>
    <cacheHierarchy uniqueName="[Store_directory].[Дата закриття]" caption="Дата закриття" attribute="1" defaultMemberUniqueName="[Store_directory].[Дата закриття].[All]" allUniqueName="[Store_directory].[Дата закриття].[All]" dimensionUniqueName="[Store_directory]" displayFolder="" count="0" unbalanced="0"/>
    <cacheHierarchy uniqueName="[Store_directory].[Дата рефіт відкриття]" caption="Дата рефіт відкриття" attribute="1" defaultMemberUniqueName="[Store_directory].[Дата рефіт відкриття].[All]" allUniqueName="[Store_directory].[Дата рефіт відкриття].[All]" dimensionUniqueName="[Store_directory]" displayFolder="" count="0" unbalanced="0"/>
    <cacheHierarchy uniqueName="[Store_directory].[Дата рефіт закриття]" caption="Дата рефіт закриття" attribute="1" defaultMemberUniqueName="[Store_directory].[Дата рефіт закриття].[All]" allUniqueName="[Store_directory].[Дата рефіт закриття].[All]" dimensionUniqueName="[Store_directory]" displayFolder="" count="0" unbalanced="0"/>
    <cacheHierarchy uniqueName="[Store_directory].[Код МВВ]" caption="Код МВВ" attribute="1" defaultMemberUniqueName="[Store_directory].[Код МВВ].[All]" allUniqueName="[Store_directory].[Код МВВ].[All]" dimensionUniqueName="[Store_directory]" displayFolder="" count="2" unbalanced="0">
      <fieldsUsage count="2">
        <fieldUsage x="-1"/>
        <fieldUsage x="5"/>
      </fieldsUsage>
    </cacheHierarchy>
    <cacheHierarchy uniqueName="[Store_directory].[Координати]" caption="Координати" attribute="1" defaultMemberUniqueName="[Store_directory].[Координати].[All]" allUniqueName="[Store_directory].[Координати].[All]" dimensionUniqueName="[Store_directory]" displayFolder="" count="0" unbalanced="0"/>
    <cacheHierarchy uniqueName="[Store_directory].[Назва магазину]" caption="Назва магазину" attribute="1" defaultMemberUniqueName="[Store_directory].[Назва магазину].[All]" allUniqueName="[Store_directory].[Назва магазину].[All]" dimensionUniqueName="[Store_directory]" displayFolder="" count="2" unbalanced="0">
      <fieldsUsage count="2">
        <fieldUsage x="-1"/>
        <fieldUsage x="6"/>
      </fieldsUsage>
    </cacheHierarchy>
    <cacheHierarchy uniqueName="[Store_directory].[Субформати]" caption="Субформати" attribute="1" defaultMemberUniqueName="[Store_directory].[Субформати].[All]" allUniqueName="[Store_directory].[Субформати].[All]" dimensionUniqueName="[Store_directory]" displayFolder="" count="0" unbalanced="0"/>
    <cacheHierarchy uniqueName="[Store_directory].[Тип супроводу магазину]" caption="Тип супроводу магазину" attribute="1" defaultMemberUniqueName="[Store_directory].[Тип супроводу магазину].[All]" allUniqueName="[Store_directory].[Тип супроводу магазину].[All]" dimensionUniqueName="[Store_directory]" displayFolder="" count="0" unbalanced="0"/>
    <cacheHierarchy uniqueName="[Store_directory].[Формати]" caption="Формати" attribute="1" defaultMemberUniqueName="[Store_directory].[Формати].[All]" allUniqueName="[Store_directory].[Формати].[All]" dimensionUniqueName="[Store_directory]" displayFolder="" count="0" unbalanced="0"/>
    <cacheHierarchy uniqueName="[Vyruchka_plan_fact].[a_plan]" caption="a_plan" attribute="1" defaultMemberUniqueName="[Vyruchka_plan_fact].[a_plan].[All]" allUniqueName="[Vyruchka_plan_fact].[a_plan].[All]" dimensionUniqueName="[Vyruchka_plan_fact]" displayFolder="" count="0" unbalanced="0"/>
    <cacheHierarchy uniqueName="[Vyruchka_plan_fact].[Date]" caption="Date" attribute="1" defaultMemberUniqueName="[Vyruchka_plan_fact].[Date].[All]" allUniqueName="[Vyruchka_plan_fact].[Date].[All]" dimensionUniqueName="[Vyruchka_plan_fact]" displayFolder="" count="0" unbalanced="0"/>
    <cacheHierarchy uniqueName="[Vyruchka_plan_fact].[mvv_id]" caption="mvv_id" attribute="1" defaultMemberUniqueName="[Vyruchka_plan_fact].[mvv_id].[All]" allUniqueName="[Vyruchka_plan_fact].[mvv_id].[All]" dimensionUniqueName="[Vyruchka_plan_fact]" displayFolder="" count="0" unbalanced="0"/>
    <cacheHierarchy uniqueName="[Vyruchka_plan_fact].[sum_fact]" caption="sum_fact" attribute="1" defaultMemberUniqueName="[Vyruchka_plan_fact].[sum_fact].[All]" allUniqueName="[Vyruchka_plan_fact].[sum_fact].[All]" dimensionUniqueName="[Vyruchka_plan_fact]" displayFolder="" count="0" unbalanced="0"/>
    <cacheHierarchy uniqueName="[Vyruchka_plan_fact].[year_id]" caption="year_id" attribute="1" defaultMemberUniqueName="[Vyruchka_plan_fact].[year_id].[All]" allUniqueName="[Vyruchka_plan_fact].[year_id].[All]" dimensionUniqueName="[Vyruchka_plan_fact]" displayFolder="" count="0" unbalanced="0"/>
    <cacheHierarchy uniqueName="[Параметр].[Параметр]" caption="Параметр" attribute="1" defaultMemberUniqueName="[Параметр].[Параметр].[All]" allUniqueName="[Параметр].[Параметр].[All]" dimensionUniqueName="[Параметр]" displayFolder="" count="0" unbalanced="0"/>
    <cacheHierarchy uniqueName="[Група обчислення].[Порядковий]" caption="Порядковий" attribute="1" defaultMemberUniqueName="[Група обчислення].[Порядковий].[All]" allUniqueName="[Група обчислення].[Порядковий].[All]" dimensionUniqueName="[Група обчислення]" displayFolder="" count="0" unbalanced="0" hidden="1"/>
    <cacheHierarchy uniqueName="[Група обчислення].[Стовпець групи обчислення]" caption="Стовпець групи обчислення" attribute="1" defaultMemberUniqueName="[Група обчислення].[Стовпець групи обчислення].[All]" allUniqueName="[Група обчислення].[Стовпець групи обчислення].[All]" dimensionUniqueName="[Група обчислення]" displayFolder="" count="0" unbalanced="0" hidden="1"/>
    <cacheHierarchy uniqueName="[Параметр].[Параметр Замовлення]" caption="Параметр Замовлення" attribute="1" defaultMemberUniqueName="[Параметр].[Параметр Замовлення].[All]" allUniqueName="[Параметр].[Параметр Замовлення].[All]" dimensionUniqueName="[Параметр]" displayFolder="" count="0" unbalanced="0" hidden="1"/>
    <cacheHierarchy uniqueName="[Параметр].[Параметр Поля]" caption="Параметр Поля" attribute="1" defaultMemberUniqueName="[Параметр].[Параметр Поля].[All]" allUniqueName="[Параметр].[Параметр Поля].[All]" dimensionUniqueName="[Параметр]" displayFolder="" count="0" unbalanced="0" hidden="1"/>
    <cacheHierarchy uniqueName="[Measures].[Fact]" caption="Fact" measure="1" displayFolder="" measureGroup="Група обчислення" count="0" oneField="1">
      <fieldsUsage count="1">
        <fieldUsage x="0"/>
      </fieldsUsage>
    </cacheHierarchy>
    <cacheHierarchy uniqueName="[Measures].[% від ТО_Plan]" caption="% від ТО_Plan" measure="1" displayFolder="" measureGroup="Група обчислення" count="0"/>
    <cacheHierarchy uniqueName="[Measures].[Plan]" caption="Plan" measure="1" displayFolder="" measureGroup="Група обчислення" count="0"/>
    <cacheHierarchy uniqueName="[Measures].[Відхилення, грн]" caption="Відхилення, грн" measure="1" displayFolder="" measureGroup="Група обчислення" count="0"/>
    <cacheHierarchy uniqueName="[Measures].[% Виконання]" caption="% Виконання" measure="1" displayFolder="" measureGroup="Група обчислення" count="0"/>
    <cacheHierarchy uniqueName="[Measures].[Plan_TO]" caption="Plan_TO" measure="1" displayFolder="" measureGroup="Група обчислення" count="0"/>
    <cacheHierarchy uniqueName="[Measures].[Fact_TO]" caption="Fact_TO" measure="1" displayFolder="" measureGroup="Група обчислення" count="0"/>
    <cacheHierarchy uniqueName="[Measures].[% від ТО_Fact]" caption="% від ТО_Fact" measure="1" displayFolder="" measureGroup="Група обчислення" count="0"/>
    <cacheHierarchy uniqueName="[Measures].[%% від ТО]" caption="%% від ТО" measure="1" displayFolder="" measureGroup="Група обчислення" count="0"/>
    <cacheHierarchy uniqueName="[Measures].[% Fact]" caption="% Fact" measure="1" displayFolder="" measureGroup="Група обчислення" count="0"/>
    <cacheHierarchy uniqueName="[Measures].[Приріст колір]" caption="Приріст колір" measure="1" displayFolder="" measureGroup="Група обчислення" count="0"/>
    <cacheHierarchy uniqueName="[Measures].[% Plan]" caption="% Plan" measure="1" displayFolder="" measureGroup="Група обчислення" count="0"/>
    <cacheHierarchy uniqueName="[Measures].[Факт]" caption="Факт" measure="1" displayFolder="" measureGroup="Група обчислення" count="0"/>
    <cacheHierarchy uniqueName="[Measures].[План]" caption="План" measure="1" displayFolder="" measureGroup="Група обчислення" count="0"/>
    <cacheHierarchy uniqueName="[Measures].[Title_]" caption="Title_" measure="1" displayFolder="" measureGroup="Група обчислення" count="0"/>
    <cacheHierarchy uniqueName="[Measures].[Приріст]" caption="Приріст" measure="1" displayFolder="" measureGroup="Група обчислення" count="0"/>
    <cacheHierarchy uniqueName="[Measures].[% Оренди]" caption="% Оренди" measure="1" displayFolder="" measureGroup="Група обчислення" count="0"/>
    <cacheHierarchy uniqueName="[Measures].[Fact LY]" caption="Fact LY" measure="1" displayFolder="" measureGroup="Група обчислення" count="0"/>
    <cacheHierarchy uniqueName="[Measures].[Відхилення до плану, грн]" caption="Відхилення до плану, грн" measure="1" displayFolder="" measureGroup="Група обчислення" count="0"/>
    <cacheHierarchy uniqueName="[Measures].[% Відхилення до плану]" caption="% Відхилення до плану" measure="1" displayFolder="" measureGroup="Група обчислення" count="0"/>
    <cacheHierarchy uniqueName="[Measures].[Відхилення до минулого року, грн]" caption="Відхилення до минулого року, грн" measure="1" displayFolder="" measureGroup="Група обчислення" count="0"/>
    <cacheHierarchy uniqueName="[Measures].[% Відхилення до минулого року]" caption="% Відхилення до минулого року" measure="1" displayFolder="" measureGroup="Група обчислення" count="0"/>
    <cacheHierarchy uniqueName="[Measures].[Факт LY]" caption="Факт LY" measure="1" displayFolder="" measureGroup="Група обчислення" count="0"/>
    <cacheHierarchy uniqueName="[Measures].[Відхилення до плану, грн (візуал)]" caption="Відхилення до плану, грн (візуал)" measure="1" displayFolder="" measureGroup="Група обчислення" count="0"/>
    <cacheHierarchy uniqueName="[Measures].[% Відхилення до плану (візуал)]" caption="% Відхилення до плану (візуал)" measure="1" displayFolder="" measureGroup="Група обчислення" count="0"/>
    <cacheHierarchy uniqueName="[Measures].[Відхилення до минулого року, грн (візуал)]" caption="Відхилення до минулого року, грн (візуал)" measure="1" displayFolder="" measureGroup="Група обчислення" count="0"/>
    <cacheHierarchy uniqueName="[Measures].[% Відхилення до минулого року (візуал)]" caption="% Відхилення до минулого року (візуал)" measure="1" displayFolder="" measureGroup="Група обчислення" count="0"/>
    <cacheHierarchy uniqueName="[Measures].[__Default measure]" caption="__Default measure" measure="1" displayFolder="" count="0" hidden="1"/>
  </cacheHierarchies>
  <kpis count="0"/>
  <dimensions count="7">
    <dimension name="Calendar_" uniqueName="[Calendar_]" caption="Calendar_"/>
    <dimension name="fin_percent_rent" uniqueName="[fin_percent_rent]" caption="fin_percent_rent"/>
    <dimension measure="1" name="Measures" uniqueName="[Measures]" caption="Measures"/>
    <dimension name="Orenda_plan_fact" uniqueName="[Orenda_plan_fact]" caption="Orenda_plan_fact"/>
    <dimension name="Store_directory" uniqueName="[Store_directory]" caption="Store_directory"/>
    <dimension name="Vyruchka_plan_fact" uniqueName="[Vyruchka_plan_fact]" caption="Vyruchka_plan_fact"/>
    <dimension name="Параметр" uniqueName="[Параметр]" caption="Параметр"/>
  </dimensions>
  <measureGroups count="7">
    <measureGroup name="Calendar_" caption="Calendar_"/>
    <measureGroup name="fin_percent_rent" caption="fin_percent_rent"/>
    <measureGroup name="Orenda_plan_fact" caption="Orenda_plan_fact"/>
    <measureGroup name="Store_directory" caption="Store_directory"/>
    <measureGroup name="Vyruchka_plan_fact" caption="Vyruchka_plan_fact"/>
    <measureGroup name="Група обчислення" caption="Група обчислення"/>
    <measureGroup name="Параметр" caption="Параметр"/>
  </measureGroups>
  <maps count="14">
    <map measureGroup="0" dimension="0"/>
    <map measureGroup="1" dimension="0"/>
    <map measureGroup="1" dimension="1"/>
    <map measureGroup="1" dimension="3"/>
    <map measureGroup="1" dimension="4"/>
    <map measureGroup="2" dimension="0"/>
    <map measureGroup="2" dimension="1"/>
    <map measureGroup="2" dimension="3"/>
    <map measureGroup="2" dimension="4"/>
    <map measureGroup="3" dimension="4"/>
    <map measureGroup="4" dimension="0"/>
    <map measureGroup="4" dimension="4"/>
    <map measureGroup="4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=""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Суховій Ігор Юрійович" refreshedDate="46216.679486226851" backgroundQuery="1" createdVersion="6" refreshedVersion="7" minRefreshableVersion="3" recordCount="0" supportSubquery="1" supportAdvancedDrill="1" xr:uid="{57730847-4DD8-4F07-8C50-456AAF9231A3}">
  <cacheSource type="external" connectionId="1"/>
  <cacheFields count="10">
    <cacheField name="[Measures].[Fact]" caption="Fact" numFmtId="0" hierarchy="58" level="32767"/>
    <cacheField name="[Orenda_plan_fact].[groupCost].[groupCost]" caption="groupCost" numFmtId="0" hierarchy="21" level="1">
      <sharedItems containsSemiMixedTypes="0" containsString="0"/>
    </cacheField>
    <cacheField name="[fin_percent_rent].[year].[year]" caption="year" numFmtId="0" hierarchy="14" level="1">
      <sharedItems containsSemiMixedTypes="0" containsString="0"/>
    </cacheField>
    <cacheField name="[Calendar_].[year].[year]" caption="year" numFmtId="0" hierarchy="10" level="1">
      <sharedItems containsSemiMixedTypes="0" containsString="0"/>
    </cacheField>
    <cacheField name="[Store_directory].[Вид МВВ].[Вид МВВ]" caption="Вид МВВ" numFmtId="0" hierarchy="36" level="1">
      <sharedItems containsSemiMixedTypes="0" containsString="0"/>
    </cacheField>
    <cacheField name="[Store_directory].[Код МВВ].[Код МВВ]" caption="Код МВВ" numFmtId="0" hierarchy="42" level="1">
      <sharedItems count="424">
        <s v="[Store_directory].[Код МВВ].&amp;[2021100100]" c="2021100100"/>
        <s v="[Store_directory].[Код МВВ].&amp;[2021100200]" c="2021100200"/>
        <s v="[Store_directory].[Код МВВ].&amp;[2021100300]" c="2021100300"/>
        <s v="[Store_directory].[Код МВВ].&amp;[2021100500]" c="2021100500"/>
        <s v="[Store_directory].[Код МВВ].&amp;[2021100700]" c="2021100700"/>
        <s v="[Store_directory].[Код МВВ].&amp;[2021100800]" c="2021100800"/>
        <s v="[Store_directory].[Код МВВ].&amp;[2021101000]" c="2021101000"/>
        <s v="[Store_directory].[Код МВВ].&amp;[2021101100]" c="2021101100"/>
        <s v="[Store_directory].[Код МВВ].&amp;[2021101300]" c="2021101300"/>
        <s v="[Store_directory].[Код МВВ].&amp;[2021101400]" c="2021101400"/>
        <s v="[Store_directory].[Код МВВ].&amp;[2021101500]" c="2021101500"/>
        <s v="[Store_directory].[Код МВВ].&amp;[2021101600]" c="2021101600"/>
        <s v="[Store_directory].[Код МВВ].&amp;[2021101900]" c="2021101900"/>
        <s v="[Store_directory].[Код МВВ].&amp;[2021102000]" c="2021102000"/>
        <s v="[Store_directory].[Код МВВ].&amp;[2021102400]" c="2021102400"/>
        <s v="[Store_directory].[Код МВВ].&amp;[2021102500]" c="2021102500"/>
        <s v="[Store_directory].[Код МВВ].&amp;[2021102600]" c="2021102600"/>
        <s v="[Store_directory].[Код МВВ].&amp;[2021102900]" c="2021102900"/>
        <s v="[Store_directory].[Код МВВ].&amp;[2021103000]" c="2021103000"/>
        <s v="[Store_directory].[Код МВВ].&amp;[2021103300]" c="2021103300"/>
        <s v="[Store_directory].[Код МВВ].&amp;[2021103800]" c="2021103800"/>
        <s v="[Store_directory].[Код МВВ].&amp;[2021104300]" c="2021104300"/>
        <s v="[Store_directory].[Код МВВ].&amp;[2021104400]" c="2021104400"/>
        <s v="[Store_directory].[Код МВВ].&amp;[2021105400]" c="2021105400"/>
        <s v="[Store_directory].[Код МВВ].&amp;[2021105500]" c="2021105500"/>
        <s v="[Store_directory].[Код МВВ].&amp;[2021105600]" c="2021105600"/>
        <s v="[Store_directory].[Код МВВ].&amp;[2021106100]" c="2021106100"/>
        <s v="[Store_directory].[Код МВВ].&amp;[2021106200]" c="2021106200"/>
        <s v="[Store_directory].[Код МВВ].&amp;[2021106300]" c="2021106300"/>
        <s v="[Store_directory].[Код МВВ].&amp;[2021106400]" c="2021106400"/>
        <s v="[Store_directory].[Код МВВ].&amp;[2021106500]" c="2021106500"/>
        <s v="[Store_directory].[Код МВВ].&amp;[2021106600]" c="2021106600"/>
        <s v="[Store_directory].[Код МВВ].&amp;[2021106801]" c="2021106801"/>
        <s v="[Store_directory].[Код МВВ].&amp;[2021107100]" c="2021107100"/>
        <s v="[Store_directory].[Код МВВ].&amp;[2021107300]" c="2021107300"/>
        <s v="[Store_directory].[Код МВВ].&amp;[2021107400]" c="2021107400"/>
        <s v="[Store_directory].[Код МВВ].&amp;[2021107600]" c="2021107600"/>
        <s v="[Store_directory].[Код МВВ].&amp;[2021107800]" c="2021107800"/>
        <s v="[Store_directory].[Код МВВ].&amp;[2021107900]" c="2021107900"/>
        <s v="[Store_directory].[Код МВВ].&amp;[2021108000]" c="2021108000"/>
        <s v="[Store_directory].[Код МВВ].&amp;[2021108100]" c="2021108100"/>
        <s v="[Store_directory].[Код МВВ].&amp;[2021108200]" c="2021108200"/>
        <s v="[Store_directory].[Код МВВ].&amp;[2021108300]" c="2021108300"/>
        <s v="[Store_directory].[Код МВВ].&amp;[2021111000]" c="2021111000"/>
        <s v="[Store_directory].[Код МВВ].&amp;[2021111200]" c="2021111200"/>
        <s v="[Store_directory].[Код МВВ].&amp;[2021111300]" c="2021111300"/>
        <s v="[Store_directory].[Код МВВ].&amp;[2021111400]" c="2021111400"/>
        <s v="[Store_directory].[Код МВВ].&amp;[2021111700]" c="2021111700"/>
        <s v="[Store_directory].[Код МВВ].&amp;[2021111900]" c="2021111900"/>
        <s v="[Store_directory].[Код МВВ].&amp;[2021112000]" c="2021112000"/>
        <s v="[Store_directory].[Код МВВ].&amp;[2021112100]" c="2021112100"/>
        <s v="[Store_directory].[Код МВВ].&amp;[2021112300]" c="2021112300"/>
        <s v="[Store_directory].[Код МВВ].&amp;[2021112400]" c="2021112400"/>
        <s v="[Store_directory].[Код МВВ].&amp;[2021112600]" c="2021112600"/>
        <s v="[Store_directory].[Код МВВ].&amp;[2021112900]" c="2021112900"/>
        <s v="[Store_directory].[Код МВВ].&amp;[2021113000]" c="2021113000"/>
        <s v="[Store_directory].[Код МВВ].&amp;[2021113100]" c="2021113100"/>
        <s v="[Store_directory].[Код МВВ].&amp;[2021113300]" c="2021113300"/>
        <s v="[Store_directory].[Код МВВ].&amp;[2021113400]" c="2021113400"/>
        <s v="[Store_directory].[Код МВВ].&amp;[2021113700]" c="2021113700"/>
        <s v="[Store_directory].[Код МВВ].&amp;[2021113800]" c="2021113800"/>
        <s v="[Store_directory].[Код МВВ].&amp;[2021113900]" c="2021113900"/>
        <s v="[Store_directory].[Код МВВ].&amp;[2021114100]" c="2021114100"/>
        <s v="[Store_directory].[Код МВВ].&amp;[2021114200]" c="2021114200"/>
        <s v="[Store_directory].[Код МВВ].&amp;[2021114300]" c="2021114300"/>
        <s v="[Store_directory].[Код МВВ].&amp;[2021114400]" c="2021114400"/>
        <s v="[Store_directory].[Код МВВ].&amp;[2021114500]" c="2021114500"/>
        <s v="[Store_directory].[Код МВВ].&amp;[2021114600]" c="2021114600"/>
        <s v="[Store_directory].[Код МВВ].&amp;[2021114700]" c="2021114700"/>
        <s v="[Store_directory].[Код МВВ].&amp;[2021114800]" c="2021114800"/>
        <s v="[Store_directory].[Код МВВ].&amp;[2021114900]" c="2021114900"/>
        <s v="[Store_directory].[Код МВВ].&amp;[2021115200]" c="2021115200"/>
        <s v="[Store_directory].[Код МВВ].&amp;[2021115400]" c="2021115400"/>
        <s v="[Store_directory].[Код МВВ].&amp;[2021115600]" c="2021115600"/>
        <s v="[Store_directory].[Код МВВ].&amp;[2021115700]" c="2021115700"/>
        <s v="[Store_directory].[Код МВВ].&amp;[2021115800]" c="2021115800"/>
        <s v="[Store_directory].[Код МВВ].&amp;[2021115900]" c="2021115900"/>
        <s v="[Store_directory].[Код МВВ].&amp;[2021116000]" c="2021116000"/>
        <s v="[Store_directory].[Код МВВ].&amp;[2021116100]" c="2021116100"/>
        <s v="[Store_directory].[Код МВВ].&amp;[2021116700]" c="2021116700"/>
        <s v="[Store_directory].[Код МВВ].&amp;[2021116800]" c="2021116800"/>
        <s v="[Store_directory].[Код МВВ].&amp;[2021117000]" c="2021117000"/>
        <s v="[Store_directory].[Код МВВ].&amp;[2021117200]" c="2021117200"/>
        <s v="[Store_directory].[Код МВВ].&amp;[2021117300]" c="2021117300"/>
        <s v="[Store_directory].[Код МВВ].&amp;[2021117500]" c="2021117500"/>
        <s v="[Store_directory].[Код МВВ].&amp;[2021117600]" c="2021117600"/>
        <s v="[Store_directory].[Код МВВ].&amp;[2021117800]" c="2021117800"/>
        <s v="[Store_directory].[Код МВВ].&amp;[2021117900]" c="2021117900"/>
        <s v="[Store_directory].[Код МВВ].&amp;[2021118000]" c="2021118000"/>
        <s v="[Store_directory].[Код МВВ].&amp;[2021118100]" c="2021118100"/>
        <s v="[Store_directory].[Код МВВ].&amp;[2021118200]" c="2021118200"/>
        <s v="[Store_directory].[Код МВВ].&amp;[2021118300]" c="2021118300"/>
        <s v="[Store_directory].[Код МВВ].&amp;[2021118400]" c="2021118400"/>
        <s v="[Store_directory].[Код МВВ].&amp;[2021118500]" c="2021118500"/>
        <s v="[Store_directory].[Код МВВ].&amp;[2021118600]" c="2021118600"/>
        <s v="[Store_directory].[Код МВВ].&amp;[2021118700]" c="2021118700"/>
        <s v="[Store_directory].[Код МВВ].&amp;[2021118800]" c="2021118800"/>
        <s v="[Store_directory].[Код МВВ].&amp;[2021118900]" c="2021118900"/>
        <s v="[Store_directory].[Код МВВ].&amp;[2021119000]" c="2021119000"/>
        <s v="[Store_directory].[Код МВВ].&amp;[2021119100]" c="2021119100"/>
        <s v="[Store_directory].[Код МВВ].&amp;[2021119200]" c="2021119200"/>
        <s v="[Store_directory].[Код МВВ].&amp;[2021119400]" c="2021119400"/>
        <s v="[Store_directory].[Код МВВ].&amp;[2021120000]" c="2021120000"/>
        <s v="[Store_directory].[Код МВВ].&amp;[2021120100]" c="2021120100"/>
        <s v="[Store_directory].[Код МВВ].&amp;[2021120200]" c="2021120200"/>
        <s v="[Store_directory].[Код МВВ].&amp;[2021120300]" c="2021120300"/>
        <s v="[Store_directory].[Код МВВ].&amp;[2021120400]" c="2021120400"/>
        <s v="[Store_directory].[Код МВВ].&amp;[2021120500]" c="2021120500"/>
        <s v="[Store_directory].[Код МВВ].&amp;[2021120600]" c="2021120600"/>
        <s v="[Store_directory].[Код МВВ].&amp;[2021120700]" c="2021120700"/>
        <s v="[Store_directory].[Код МВВ].&amp;[2021120800]" c="2021120800"/>
        <s v="[Store_directory].[Код МВВ].&amp;[2021120900]" c="2021120900"/>
        <s v="[Store_directory].[Код МВВ].&amp;[2021121000]" c="2021121000"/>
        <s v="[Store_directory].[Код МВВ].&amp;[2021121100]" c="2021121100"/>
        <s v="[Store_directory].[Код МВВ].&amp;[2021121300]" c="2021121300"/>
        <s v="[Store_directory].[Код МВВ].&amp;[2021121500]" c="2021121500"/>
        <s v="[Store_directory].[Код МВВ].&amp;[2021121600]" c="2021121600"/>
        <s v="[Store_directory].[Код МВВ].&amp;[2021121900]" c="2021121900"/>
        <s v="[Store_directory].[Код МВВ].&amp;[2021122000]" c="2021122000"/>
        <s v="[Store_directory].[Код МВВ].&amp;[2021122100]" c="2021122100"/>
        <s v="[Store_directory].[Код МВВ].&amp;[2021122200]" c="2021122200"/>
        <s v="[Store_directory].[Код МВВ].&amp;[2021122300]" c="2021122300"/>
        <s v="[Store_directory].[Код МВВ].&amp;[2021122500]" c="2021122500"/>
        <s v="[Store_directory].[Код МВВ].&amp;[2021122600]" c="2021122600"/>
        <s v="[Store_directory].[Код МВВ].&amp;[2021122700]" c="2021122700"/>
        <s v="[Store_directory].[Код МВВ].&amp;[2021122800]" c="2021122800"/>
        <s v="[Store_directory].[Код МВВ].&amp;[2021122900]" c="2021122900"/>
        <s v="[Store_directory].[Код МВВ].&amp;[2021123000]" c="2021123000"/>
        <s v="[Store_directory].[Код МВВ].&amp;[2021123100]" c="2021123100"/>
        <s v="[Store_directory].[Код МВВ].&amp;[2021123200]" c="2021123200"/>
        <s v="[Store_directory].[Код МВВ].&amp;[2021123300]" c="2021123300"/>
        <s v="[Store_directory].[Код МВВ].&amp;[2021123400]" c="2021123400"/>
        <s v="[Store_directory].[Код МВВ].&amp;[2021123500]" c="2021123500"/>
        <s v="[Store_directory].[Код МВВ].&amp;[2021123600]" c="2021123600"/>
        <s v="[Store_directory].[Код МВВ].&amp;[2021123700]" c="2021123700"/>
        <s v="[Store_directory].[Код МВВ].&amp;[2021123800]" c="2021123800"/>
        <s v="[Store_directory].[Код МВВ].&amp;[2021124000]" c="2021124000"/>
        <s v="[Store_directory].[Код МВВ].&amp;[2021124100]" c="2021124100"/>
        <s v="[Store_directory].[Код МВВ].&amp;[2021124200]" c="2021124200"/>
        <s v="[Store_directory].[Код МВВ].&amp;[2021124500]" c="2021124500"/>
        <s v="[Store_directory].[Код МВВ].&amp;[2021124600]" c="2021124600"/>
        <s v="[Store_directory].[Код МВВ].&amp;[2021124700]" c="2021124700"/>
        <s v="[Store_directory].[Код МВВ].&amp;[2021124800]" c="2021124800"/>
        <s v="[Store_directory].[Код МВВ].&amp;[2021124900]" c="2021124900"/>
        <s v="[Store_directory].[Код МВВ].&amp;[2021125000]" c="2021125000"/>
        <s v="[Store_directory].[Код МВВ].&amp;[2021125300]" c="2021125300"/>
        <s v="[Store_directory].[Код МВВ].&amp;[2021125400]" c="2021125400"/>
        <s v="[Store_directory].[Код МВВ].&amp;[2021125500]" c="2021125500"/>
        <s v="[Store_directory].[Код МВВ].&amp;[2021125600]" c="2021125600"/>
        <s v="[Store_directory].[Код МВВ].&amp;[2021125700]" c="2021125700"/>
        <s v="[Store_directory].[Код МВВ].&amp;[2021125800]" c="2021125800"/>
        <s v="[Store_directory].[Код МВВ].&amp;[2021125900]" c="2021125900"/>
        <s v="[Store_directory].[Код МВВ].&amp;[2021126200]" c="2021126200"/>
        <s v="[Store_directory].[Код МВВ].&amp;[2021126300]" c="2021126300"/>
        <s v="[Store_directory].[Код МВВ].&amp;[2021126400]" c="2021126400"/>
        <s v="[Store_directory].[Код МВВ].&amp;[2021126500]" c="2021126500"/>
        <s v="[Store_directory].[Код МВВ].&amp;[2021126600]" c="2021126600"/>
        <s v="[Store_directory].[Код МВВ].&amp;[2021126700]" c="2021126700"/>
        <s v="[Store_directory].[Код МВВ].&amp;[2021126800]" c="2021126800"/>
        <s v="[Store_directory].[Код МВВ].&amp;[2021126900]" c="2021126900"/>
        <s v="[Store_directory].[Код МВВ].&amp;[2021127000]" c="2021127000"/>
        <s v="[Store_directory].[Код МВВ].&amp;[2021127100]" c="2021127100"/>
        <s v="[Store_directory].[Код МВВ].&amp;[2021127200]" c="2021127200"/>
        <s v="[Store_directory].[Код МВВ].&amp;[2021127400]" c="2021127400"/>
        <s v="[Store_directory].[Код МВВ].&amp;[2021127600]" c="2021127600"/>
        <s v="[Store_directory].[Код МВВ].&amp;[2021127700]" c="2021127700"/>
        <s v="[Store_directory].[Код МВВ].&amp;[2021127800]" c="2021127800"/>
        <s v="[Store_directory].[Код МВВ].&amp;[2021127900]" c="2021127900"/>
        <s v="[Store_directory].[Код МВВ].&amp;[2021128000]" c="2021128000"/>
        <s v="[Store_directory].[Код МВВ].&amp;[2021128100]" c="2021128100"/>
        <s v="[Store_directory].[Код МВВ].&amp;[2021128200]" c="2021128200"/>
        <s v="[Store_directory].[Код МВВ].&amp;[2021128300]" c="2021128300"/>
        <s v="[Store_directory].[Код МВВ].&amp;[2021128400]" c="2021128400"/>
        <s v="[Store_directory].[Код МВВ].&amp;[2021128500]" c="2021128500"/>
        <s v="[Store_directory].[Код МВВ].&amp;[2021128600]" c="2021128600"/>
        <s v="[Store_directory].[Код МВВ].&amp;[2021128800]" c="2021128800"/>
        <s v="[Store_directory].[Код МВВ].&amp;[2021128900]" c="2021128900"/>
        <s v="[Store_directory].[Код МВВ].&amp;[2021129000]" c="2021129000"/>
        <s v="[Store_directory].[Код МВВ].&amp;[2021129100]" c="2021129100"/>
        <s v="[Store_directory].[Код МВВ].&amp;[2021129200]" c="2021129200"/>
        <s v="[Store_directory].[Код МВВ].&amp;[2021129300]" c="2021129300"/>
        <s v="[Store_directory].[Код МВВ].&amp;[2021129400]" c="2021129400"/>
        <s v="[Store_directory].[Код МВВ].&amp;[2021129500]" c="2021129500"/>
        <s v="[Store_directory].[Код МВВ].&amp;[2021129600]" c="2021129600"/>
        <s v="[Store_directory].[Код МВВ].&amp;[2021129700]" c="2021129700"/>
        <s v="[Store_directory].[Код МВВ].&amp;[2021129800]" c="2021129800"/>
        <s v="[Store_directory].[Код МВВ].&amp;[2021129900]" c="2021129900"/>
        <s v="[Store_directory].[Код МВВ].&amp;[2021130000]" c="2021130000"/>
        <s v="[Store_directory].[Код МВВ].&amp;[2021130100]" c="2021130100"/>
        <s v="[Store_directory].[Код МВВ].&amp;[2021130200]" c="2021130200"/>
        <s v="[Store_directory].[Код МВВ].&amp;[2021130300]" c="2021130300"/>
        <s v="[Store_directory].[Код МВВ].&amp;[2021130400]" c="2021130400"/>
        <s v="[Store_directory].[Код МВВ].&amp;[2021130600]" c="2021130600"/>
        <s v="[Store_directory].[Код МВВ].&amp;[2021130700]" c="2021130700"/>
        <s v="[Store_directory].[Код МВВ].&amp;[2021130800]" c="2021130800"/>
        <s v="[Store_directory].[Код МВВ].&amp;[2021130900]" c="2021130900"/>
        <s v="[Store_directory].[Код МВВ].&amp;[2021131000]" c="2021131000"/>
        <s v="[Store_directory].[Код МВВ].&amp;[2021131100]" c="2021131100"/>
        <s v="[Store_directory].[Код МВВ].&amp;[2021131200]" c="2021131200"/>
        <s v="[Store_directory].[Код МВВ].&amp;[2021131300]" c="2021131300"/>
        <s v="[Store_directory].[Код МВВ].&amp;[2021131400]" c="2021131400"/>
        <s v="[Store_directory].[Код МВВ].&amp;[2021131500]" c="2021131500"/>
        <s v="[Store_directory].[Код МВВ].&amp;[2021131600]" c="2021131600"/>
        <s v="[Store_directory].[Код МВВ].&amp;[2021131700]" c="2021131700"/>
        <s v="[Store_directory].[Код МВВ].&amp;[2021131800]" c="2021131800"/>
        <s v="[Store_directory].[Код МВВ].&amp;[2021131900]" c="2021131900"/>
        <s v="[Store_directory].[Код МВВ].&amp;[2021132000]" c="2021132000"/>
        <s v="[Store_directory].[Код МВВ].&amp;[2021132100]" c="2021132100"/>
        <s v="[Store_directory].[Код МВВ].&amp;[2021132200]" c="2021132200"/>
        <s v="[Store_directory].[Код МВВ].&amp;[2021132400]" c="2021132400"/>
        <s v="[Store_directory].[Код МВВ].&amp;[2021132500]" c="2021132500"/>
        <s v="[Store_directory].[Код МВВ].&amp;[2021132600]" c="2021132600"/>
        <s v="[Store_directory].[Код МВВ].&amp;[2021132700]" c="2021132700"/>
        <s v="[Store_directory].[Код МВВ].&amp;[2021132800]" c="2021132800"/>
        <s v="[Store_directory].[Код МВВ].&amp;[2021132900]" c="2021132900"/>
        <s v="[Store_directory].[Код МВВ].&amp;[2021133000]" c="2021133000"/>
        <s v="[Store_directory].[Код МВВ].&amp;[2021133100]" c="2021133100"/>
        <s v="[Store_directory].[Код МВВ].&amp;[2021133200]" c="2021133200"/>
        <s v="[Store_directory].[Код МВВ].&amp;[2021133300]" c="2021133300"/>
        <s v="[Store_directory].[Код МВВ].&amp;[2021133400]" c="2021133400"/>
        <s v="[Store_directory].[Код МВВ].&amp;[2021133500]" c="2021133500"/>
        <s v="[Store_directory].[Код МВВ].&amp;[2021133600]" c="2021133600"/>
        <s v="[Store_directory].[Код МВВ].&amp;[2021133700]" c="2021133700"/>
        <s v="[Store_directory].[Код МВВ].&amp;[2021133800]" c="2021133800"/>
        <s v="[Store_directory].[Код МВВ].&amp;[2021133900]" c="2021133900"/>
        <s v="[Store_directory].[Код МВВ].&amp;[2021134000]" c="2021134000"/>
        <s v="[Store_directory].[Код МВВ].&amp;[2021134100]" c="2021134100"/>
        <s v="[Store_directory].[Код МВВ].&amp;[2021134200]" c="2021134200"/>
        <s v="[Store_directory].[Код МВВ].&amp;[2021134300]" c="2021134300"/>
        <s v="[Store_directory].[Код МВВ].&amp;[2021134400]" c="2021134400"/>
        <s v="[Store_directory].[Код МВВ].&amp;[2021134500]" c="2021134500"/>
        <s v="[Store_directory].[Код МВВ].&amp;[2021134700]" c="2021134700"/>
        <s v="[Store_directory].[Код МВВ].&amp;[2021134900]" c="2021134900"/>
        <s v="[Store_directory].[Код МВВ].&amp;[2021135000]" c="2021135000"/>
        <s v="[Store_directory].[Код МВВ].&amp;[2021135200]" c="2021135200"/>
        <s v="[Store_directory].[Код МВВ].&amp;[2021135300]" c="2021135300"/>
        <s v="[Store_directory].[Код МВВ].&amp;[2021135400]" c="2021135400"/>
        <s v="[Store_directory].[Код МВВ].&amp;[2021135500]" c="2021135500"/>
        <s v="[Store_directory].[Код МВВ].&amp;[2021135600]" c="2021135600"/>
        <s v="[Store_directory].[Код МВВ].&amp;[2021135800]" c="2021135800"/>
        <s v="[Store_directory].[Код МВВ].&amp;[2021136000]" c="2021136000"/>
        <s v="[Store_directory].[Код МВВ].&amp;[2021136200]" c="2021136200"/>
        <s v="[Store_directory].[Код МВВ].&amp;[2021136400]" c="2021136400"/>
        <s v="[Store_directory].[Код МВВ].&amp;[2021136500]" c="2021136500"/>
        <s v="[Store_directory].[Код МВВ].&amp;[2021136600]" c="2021136600"/>
        <s v="[Store_directory].[Код МВВ].&amp;[2021136700]" c="2021136700"/>
        <s v="[Store_directory].[Код МВВ].&amp;[2021136800]" c="2021136800"/>
        <s v="[Store_directory].[Код МВВ].&amp;[2021136900]" c="2021136900"/>
        <s v="[Store_directory].[Код МВВ].&amp;[2021137000]" c="2021137000"/>
        <s v="[Store_directory].[Код МВВ].&amp;[2021137200]" c="2021137200"/>
        <s v="[Store_directory].[Код МВВ].&amp;[2021137300]" c="2021137300"/>
        <s v="[Store_directory].[Код МВВ].&amp;[2021137400]" c="2021137400"/>
        <s v="[Store_directory].[Код МВВ].&amp;[2021137500]" c="2021137500"/>
        <s v="[Store_directory].[Код МВВ].&amp;[2021137600]" c="2021137600"/>
        <s v="[Store_directory].[Код МВВ].&amp;[2021137700]" c="2021137700"/>
        <s v="[Store_directory].[Код МВВ].&amp;[2021137800]" c="2021137800"/>
        <s v="[Store_directory].[Код МВВ].&amp;[2021138100]" c="2021138100"/>
        <s v="[Store_directory].[Код МВВ].&amp;[2021138200]" c="2021138200"/>
        <s v="[Store_directory].[Код МВВ].&amp;[2021138300]" c="2021138300"/>
        <s v="[Store_directory].[Код МВВ].&amp;[2021138400]" c="2021138400"/>
        <s v="[Store_directory].[Код МВВ].&amp;[2021138800]" c="2021138800"/>
        <s v="[Store_directory].[Код МВВ].&amp;[2021139000]" c="2021139000"/>
        <s v="[Store_directory].[Код МВВ].&amp;[2021139100]" c="2021139100"/>
        <s v="[Store_directory].[Код МВВ].&amp;[2021139200]" c="2021139200"/>
        <s v="[Store_directory].[Код МВВ].&amp;[2021139600]" c="2021139600"/>
        <s v="[Store_directory].[Код МВВ].&amp;[2021139700]" c="2021139700"/>
        <s v="[Store_directory].[Код МВВ].&amp;[2021139900]" c="2021139900"/>
        <s v="[Store_directory].[Код МВВ].&amp;[2021140000]" c="2021140000"/>
        <s v="[Store_directory].[Код МВВ].&amp;[2021141000]" c="2021141000"/>
        <s v="[Store_directory].[Код МВВ].&amp;[2021142000]" c="2021142000"/>
        <s v="[Store_directory].[Код МВВ].&amp;[2021143000]" c="2021143000"/>
        <s v="[Store_directory].[Код МВВ].&amp;[2021145000]" c="2021145000"/>
        <s v="[Store_directory].[Код МВВ].&amp;[2021146100]" c="2021146100"/>
        <s v="[Store_directory].[Код МВВ].&amp;[2021146200]" c="2021146200"/>
        <s v="[Store_directory].[Код МВВ].&amp;[2021146300]" c="2021146300"/>
        <s v="[Store_directory].[Код МВВ].&amp;[2021146400]" c="2021146400"/>
        <s v="[Store_directory].[Код МВВ].&amp;[2021146500]" c="2021146500"/>
        <s v="[Store_directory].[Код МВВ].&amp;[2021146600]" c="2021146600"/>
        <s v="[Store_directory].[Код МВВ].&amp;[2021146700]" c="2021146700"/>
        <s v="[Store_directory].[Код МВВ].&amp;[2021147000]" c="2021147000"/>
        <s v="[Store_directory].[Код МВВ].&amp;[2021147100]" c="2021147100"/>
        <s v="[Store_directory].[Код МВВ].&amp;[2021147200]" c="2021147200"/>
        <s v="[Store_directory].[Код МВВ].&amp;[2021147300]" c="2021147300"/>
        <s v="[Store_directory].[Код МВВ].&amp;[2021147400]" c="2021147400"/>
        <s v="[Store_directory].[Код МВВ].&amp;[2021147500]" c="2021147500"/>
        <s v="[Store_directory].[Код МВВ].&amp;[2021147700]" c="2021147700"/>
        <s v="[Store_directory].[Код МВВ].&amp;[2021147800]" c="2021147800"/>
        <s v="[Store_directory].[Код МВВ].&amp;[2021147900]" c="2021147900"/>
        <s v="[Store_directory].[Код МВВ].&amp;[2021148000]" c="2021148000"/>
        <s v="[Store_directory].[Код МВВ].&amp;[2021148100]" c="2021148100"/>
        <s v="[Store_directory].[Код МВВ].&amp;[2021148200]" c="2021148200"/>
        <s v="[Store_directory].[Код МВВ].&amp;[2021148500]" c="2021148500"/>
        <s v="[Store_directory].[Код МВВ].&amp;[2021148600]" c="2021148600"/>
        <s v="[Store_directory].[Код МВВ].&amp;[2021148700]" c="2021148700"/>
        <s v="[Store_directory].[Код МВВ].&amp;[2021148800]" c="2021148800"/>
        <s v="[Store_directory].[Код МВВ].&amp;[2021148900]" c="2021148900"/>
        <s v="[Store_directory].[Код МВВ].&amp;[2021149000]" c="2021149000"/>
        <s v="[Store_directory].[Код МВВ].&amp;[2021149100]" c="2021149100"/>
        <s v="[Store_directory].[Код МВВ].&amp;[2021149200]" c="2021149200"/>
        <s v="[Store_directory].[Код МВВ].&amp;[2021149300]" c="2021149300"/>
        <s v="[Store_directory].[Код МВВ].&amp;[2021149400]" c="2021149400"/>
        <s v="[Store_directory].[Код МВВ].&amp;[2021149500]" c="2021149500"/>
        <s v="[Store_directory].[Код МВВ].&amp;[2021149800]" c="2021149800"/>
        <s v="[Store_directory].[Код МВВ].&amp;[2021149900]" c="2021149900"/>
        <s v="[Store_directory].[Код МВВ].&amp;[2021150100]" c="2021150100"/>
        <s v="[Store_directory].[Код МВВ].&amp;[2021150200]" c="2021150200"/>
        <s v="[Store_directory].[Код МВВ].&amp;[2021150300]" c="2021150300"/>
        <s v="[Store_directory].[Код МВВ].&amp;[2021150400]" c="2021150400"/>
        <s v="[Store_directory].[Код МВВ].&amp;[2021150500]" c="2021150500"/>
        <s v="[Store_directory].[Код МВВ].&amp;[2021150600]" c="2021150600"/>
        <s v="[Store_directory].[Код МВВ].&amp;[2021150900]" c="2021150900"/>
        <s v="[Store_directory].[Код МВВ].&amp;[2021160000]" c="2021160000"/>
        <s v="[Store_directory].[Код МВВ].&amp;[2021160400]" c="2021160400"/>
        <s v="[Store_directory].[Код МВВ].&amp;[2021160500]" c="2021160500"/>
        <s v="[Store_directory].[Код МВВ].&amp;[2021195500]" c="2021195500"/>
        <s v="[Store_directory].[Код МВВ].&amp;[20211A2525]" c="20211A2525"/>
        <s v="[Store_directory].[Код МВВ].&amp;[20211A2527]" c="20211A2527"/>
        <s v="[Store_directory].[Код МВВ].&amp;[20211I0218]" c="20211I0218"/>
        <s v="[Store_directory].[Код МВВ].&amp;[20211RC016]" c="20211RC016"/>
        <s v="[Store_directory].[Код МВВ].&amp;[20211RC026]" c="20211RC026"/>
        <s v="[Store_directory].[Код МВВ].&amp;[2021200600]" c="2021200600"/>
        <s v="[Store_directory].[Код МВВ].&amp;[2021200700]" c="2021200700"/>
        <s v="[Store_directory].[Код МВВ].&amp;[2021200800]" c="2021200800"/>
        <s v="[Store_directory].[Код МВВ].&amp;[2021200900]" c="2021200900"/>
        <s v="[Store_directory].[Код МВВ].&amp;[2021201000]" c="2021201000"/>
        <s v="[Store_directory].[Код МВВ].&amp;[2021201300]" c="2021201300"/>
        <s v="[Store_directory].[Код МВВ].&amp;[2021201400]" c="2021201400"/>
        <s v="[Store_directory].[Код МВВ].&amp;[2021201500]" c="2021201500"/>
        <s v="[Store_directory].[Код МВВ].&amp;[2021201600]" c="2021201600"/>
        <s v="[Store_directory].[Код МВВ].&amp;[2021201700]" c="2021201700"/>
        <s v="[Store_directory].[Код МВВ].&amp;[2021201800]" c="2021201800"/>
        <s v="[Store_directory].[Код МВВ].&amp;[2021201900]" c="2021201900"/>
        <s v="[Store_directory].[Код МВВ].&amp;[2021202000]" c="2021202000"/>
        <s v="[Store_directory].[Код МВВ].&amp;[2021202100]" c="2021202100"/>
        <s v="[Store_directory].[Код МВВ].&amp;[2021202300]" c="2021202300"/>
        <s v="[Store_directory].[Код МВВ].&amp;[2021202500]" c="2021202500"/>
        <s v="[Store_directory].[Код МВВ].&amp;[2021202600]" c="2021202600"/>
        <s v="[Store_directory].[Код МВВ].&amp;[2021202800]" c="2021202800"/>
        <s v="[Store_directory].[Код МВВ].&amp;[2021202900]" c="2021202900"/>
        <s v="[Store_directory].[Код МВВ].&amp;[2021203000]" c="2021203000"/>
        <s v="[Store_directory].[Код МВВ].&amp;[2021300400]" c="2021300400"/>
        <s v="[Store_directory].[Код МВВ].&amp;[2021300500]" c="2021300500"/>
        <s v="[Store_directory].[Код МВВ].&amp;[2021300600]" c="2021300600"/>
        <s v="[Store_directory].[Код МВВ].&amp;[2021300700]" c="2021300700"/>
        <s v="[Store_directory].[Код МВВ].&amp;[2021300900]" c="2021300900"/>
        <s v="[Store_directory].[Код МВВ].&amp;[2021301100]" c="2021301100"/>
        <s v="[Store_directory].[Код МВВ].&amp;[2021301200]" c="2021301200"/>
        <s v="[Store_directory].[Код МВВ].&amp;[2021301300]" c="2021301300"/>
        <s v="[Store_directory].[Код МВВ].&amp;[2021301400]" c="2021301400"/>
        <s v="[Store_directory].[Код МВВ].&amp;[2021301500]" c="2021301500"/>
        <s v="[Store_directory].[Код МВВ].&amp;[2021301700]" c="2021301700"/>
        <s v="[Store_directory].[Код МВВ].&amp;[2021301900]" c="2021301900"/>
        <s v="[Store_directory].[Код МВВ].&amp;[2021400300]" c="2021400300"/>
        <s v="[Store_directory].[Код МВВ].&amp;[2021400500]" c="2021400500"/>
        <s v="[Store_directory].[Код МВВ].&amp;[2021400700]" c="2021400700"/>
        <s v="[Store_directory].[Код МВВ].&amp;[2021401200]" c="2021401200"/>
        <s v="[Store_directory].[Код МВВ].&amp;[2021401300]" c="2021401300"/>
        <s v="[Store_directory].[Код МВВ].&amp;[2021401400]" c="2021401400"/>
        <s v="[Store_directory].[Код МВВ].&amp;[2021401600]" c="2021401600"/>
        <s v="[Store_directory].[Код МВВ].&amp;[2021401700]" c="2021401700"/>
        <s v="[Store_directory].[Код МВВ].&amp;[2021500100]" c="2021500100"/>
        <s v="[Store_directory].[Код МВВ].&amp;[2021500200]" c="2021500200"/>
        <s v="[Store_directory].[Код МВВ].&amp;[2021500700]" c="2021500700"/>
        <s v="[Store_directory].[Код МВВ].&amp;[2021500800]" c="2021500800"/>
        <s v="[Store_directory].[Код МВВ].&amp;[2021500900]" c="2021500900"/>
        <s v="[Store_directory].[Код МВВ].&amp;[2021501000]" c="2021501000"/>
        <s v="[Store_directory].[Код МВВ].&amp;[2021501100]" c="2021501100"/>
        <s v="[Store_directory].[Код МВВ].&amp;[2021501200]" c="2021501200"/>
        <s v="[Store_directory].[Код МВВ].&amp;[2021501300]" c="2021501300"/>
        <s v="[Store_directory].[Код МВВ].&amp;[2021501400]" c="2021501400"/>
        <s v="[Store_directory].[Код МВВ].&amp;[2021501500]" c="2021501500"/>
        <s v="[Store_directory].[Код МВВ].&amp;[2021501600]" c="2021501600"/>
        <s v="[Store_directory].[Код МВВ].&amp;[2021502000]" c="2021502000"/>
        <s v="[Store_directory].[Код МВВ].&amp;[2021502200]" c="2021502200"/>
        <s v="[Store_directory].[Код МВВ].&amp;[2022102300]" c="2022102300"/>
        <s v="[Store_directory].[Код МВВ].&amp;[2022102400]" c="2022102400"/>
        <s v="[Store_directory].[Код МВВ].&amp;[2022102500]" c="2022102500"/>
        <s v="[Store_directory].[Код МВВ].&amp;[2022102600]" c="2022102600"/>
        <s v="[Store_directory].[Код МВВ].&amp;[2022102700]" c="2022102700"/>
        <s v="[Store_directory].[Код МВВ].&amp;[2022102800]" c="2022102800"/>
        <s v="[Store_directory].[Код МВВ].&amp;[2022102900]" c="2022102900"/>
        <s v="[Store_directory].[Код МВВ].&amp;[2022103000]" c="2022103000"/>
        <s v="[Store_directory].[Код МВВ].&amp;[2022103100]" c="2022103100"/>
        <s v="[Store_directory].[Код МВВ].&amp;[2022103200]" c="2022103200"/>
        <s v="[Store_directory].[Код МВВ].&amp;[2022300100]" c="2022300100"/>
        <s v="[Store_directory].[Код МВВ].&amp;[2022300200]" c="2022300200"/>
        <s v="[Store_directory].[Код МВВ].&amp;[2022400300]" c="2022400300"/>
        <s v="[Store_directory].[Код МВВ].&amp;[2022800100]" c="2022800100"/>
        <s v="[Store_directory].[Код МВВ].&amp;[2022800700]" c="2022800700"/>
        <s v="[Store_directory].[Код МВВ].&amp;[2022800800]" c="2022800800"/>
        <s v="[Store_directory].[Код МВВ].&amp;[2022800900]" c="2022800900"/>
        <s v="[Store_directory].[Код МВВ].&amp;[2025400500]" c="2025400500"/>
        <s v="[Store_directory].[Код МВВ].&amp;[2025400600]" c="2025400600"/>
        <s v="[Store_directory].[Код МВВ].&amp;[2025500300]" c="2025500300"/>
        <s v="[Store_directory].[Код МВВ].&amp;[2027100200]" c="2027100200"/>
        <s v="[Store_directory].[Код МВВ].&amp;[2027100300]" c="2027100300"/>
        <s v="[Store_directory].[Код МВВ].&amp;[2027100600]" c="2027100600"/>
        <s v="[Store_directory].[Код МВВ].&amp;[2027100700]" c="2027100700"/>
        <s v="[Store_directory].[Код МВВ].&amp;[2027100900]" c="2027100900"/>
        <s v="[Store_directory].[Код МВВ].&amp;[2027101100]" c="2027101100"/>
        <s v="[Store_directory].[Код МВВ].&amp;[2027101500]" c="2027101500"/>
        <s v="[Store_directory].[Код МВВ].&amp;[2027101700]" c="2027101700"/>
        <s v="[Store_directory].[Код МВВ].&amp;[2027102100]" c="2027102100"/>
        <s v="[Store_directory].[Код МВВ].&amp;[2027102300]" c="2027102300"/>
        <s v="[Store_directory].[Код МВВ].&amp;[2027102800]" c="2027102800"/>
        <s v="[Store_directory].[Код МВВ].&amp;[2027102900]" c="2027102900"/>
        <s v="[Store_directory].[Код МВВ].&amp;[2027103000]" c="2027103000"/>
        <s v="[Store_directory].[Код МВВ].&amp;[2027103100]" c="2027103100"/>
        <s v="[Store_directory].[Код МВВ].&amp;[2027103600]" c="2027103600"/>
        <s v="[Store_directory].[Код МВВ].&amp;[2027104000]" c="2027104000"/>
        <s v="[Store_directory].[Код МВВ].&amp;[2027104600]" c="2027104600"/>
        <s v="[Store_directory].[Код МВВ].&amp;[2027104700]" c="2027104700"/>
        <s v="[Store_directory].[Код МВВ].&amp;[2027104800]" c="2027104800"/>
        <s v="[Store_directory].[Код МВВ].&amp;[2027104900]" c="2027104900"/>
        <s v="[Store_directory].[Код МВВ].&amp;[2027105000]" c="2027105000"/>
        <s v="[Store_directory].[Код МВВ].&amp;[2027105100]" c="2027105100"/>
        <s v="[Store_directory].[Код МВВ].&amp;[2027105200]" c="2027105200"/>
        <s v="[Store_directory].[Код МВВ].&amp;[2027105300]" c="2027105300"/>
        <s v="[Store_directory].[Код МВВ].&amp;[2027105400]" c="2027105400"/>
        <s v="[Store_directory].[Код МВВ].&amp;[2027105500]" c="2027105500"/>
        <s v="[Store_directory].[Код МВВ].&amp;[2027105600]" c="2027105600"/>
        <s v="[Store_directory].[Код МВВ].&amp;[2027105700]" c="2027105700"/>
        <s v="[Store_directory].[Код МВВ].&amp;[2027108600]" c="2027108600"/>
        <s v="[Store_directory].[Код МВВ].&amp;[2027108700]" c="2027108700"/>
      </sharedItems>
    </cacheField>
    <cacheField name="[Store_directory].[Назва магазину].[Назва магазину]" caption="Назва магазину" numFmtId="0" hierarchy="44" level="1">
      <sharedItems count="424">
        <s v="[Store_directory].[Назва магазину].&amp;[Київ,Фора-001 Йорданська,20]" c="Київ,Фора-001 Йорданська,20"/>
        <s v="[Store_directory].[Назва магазину].&amp;[Київ,Фора-002 Вернадського,16]" c="Київ,Фора-002 Вернадського,16"/>
        <s v="[Store_directory].[Назва магазину].&amp;[Київ,Фора-003 Шолуденка,16]" c="Київ,Фора-003 Шолуденка,16"/>
        <s v="[Store_directory].[Назва магазину].&amp;[Київ,Фора-005 Воскресенський,20]" c="Київ,Фора-005 Воскресенський,20"/>
        <s v="[Store_directory].[Назва магазину].&amp;[Київ,Фора-007 Будівельників,29]" c="Київ,Фора-007 Будівельників,29"/>
        <s v="[Store_directory].[Назва магазину].&amp;[Київ,Фора-008 Котляревського,2]" c="Київ,Фора-008 Котляревського,2"/>
        <s v="[Store_directory].[Назва магазину].&amp;[Київ,Фора-010 Малишка,15/1]" c="Київ,Фора-010 Малишка,15/1"/>
        <s v="[Store_directory].[Назва магазину].&amp;[Київ,Фора-011 Харківське Шосе,9]" c="Київ,Фора-011 Харківське Шосе,9"/>
        <s v="[Store_directory].[Назва магазину].&amp;[Київ,Фора-013 Каденюка,2/35]" c="Київ,Фора-013 Каденюка,2/35"/>
        <s v="[Store_directory].[Назва магазину].&amp;[Київ,Фора-014 Миропільська,19]" c="Київ,Фора-014 Миропільська,19"/>
        <s v="[Store_directory].[Назва магазину].&amp;[Київ,Фора-015 Гродненська,1/35]" c="Київ,Фора-015 Гродненська,1/35"/>
        <s v="[Store_directory].[Назва магазину].&amp;[Київ,Фора-016 Алматинська,54]" c="Київ,Фора-016 Алматинська,54"/>
        <s v="[Store_directory].[Назва магазину].&amp;[Київ,Фора-018 Голосіївський,104]" c="Київ,Фора-018 Голосіївський,104"/>
        <s v="[Store_directory].[Назва магазину].&amp;[Київ,Фора-017 Миропільська,1]" c="Київ,Фора-017 Миропільська,1"/>
        <s v="[Store_directory].[Назва магазину].&amp;[Київ,Фора-019 Верховної Ради,27]" c="Київ,Фора-019 Верховної Ради,27"/>
        <s v="[Store_directory].[Назва магазину].&amp;[Київ,Фора-020 Левицького,5]" c="Київ,Фора-020 Левицького,5"/>
        <s v="[Store_directory].[Назва магазину].&amp;[Київ,Фора-021 Воскресенський,23Б]" c="Київ,Фора-021 Воскресенський,23Б"/>
        <s v="[Store_directory].[Назва магазину].&amp;[Київ,Фора-022 Воскресенський,14]" c="Київ,Фора-022 Воскресенський,14"/>
        <s v="[Store_directory].[Назва магазину].&amp;[Київ,Фора-023 Верховної Ради,17]" c="Київ,Фора-023 Верховної Ради,17"/>
        <s v="[Store_directory].[Назва магазину].&amp;[Київ,Фора-027 Вірського,6А]" c="Київ,Фора-027 Вірського,6А"/>
        <s v="[Store_directory].[Назва магазину].&amp;[Київ,Фора-028 Голосіївський,118]" c="Київ,Фора-028 Голосіївський,118"/>
        <s v="[Store_directory].[Назва магазину].&amp;[Київ,Фора-447 Вишняківська,17]" c="Київ,Фора-447 Вишняківська,17"/>
        <s v="[Store_directory].[Назва магазину].&amp;[Київ,Фора-033 Зодчих,52]" c="Київ,Фора-033 Зодчих,52"/>
        <s v="[Store_directory].[Назва магазину].&amp;[Київ,Фора-039 Горлівська,124/143]" c="Київ,Фора-039 Горлівська,124/143"/>
        <s v="[Store_directory].[Назва магазину].&amp;[Київ,Фора-041 Бажана,30]" c="Київ,Фора-041 Бажана,30"/>
        <s v="[Store_directory].[Назва магазину].&amp;[Київ,Фора-042 Воскресенський,44]" c="Київ,Фора-042 Воскресенський,44"/>
        <s v="[Store_directory].[Назва магазину].&amp;[Бровари,Фора-046 Броварської Сотні,12]" c="Бровари,Фора-046 Броварської Сотні,12"/>
        <s v="[Store_directory].[Назва магазину].&amp;[Київ,Фора-047 Мрії,24]" c="Київ,Фора-047 Мрії,24"/>
        <s v="[Store_directory].[Назва магазину].&amp;[Київ,Фора-048 Лісовий,23]" c="Київ,Фора-048 Лісовий,23"/>
        <s v="[Store_directory].[Назва магазину].&amp;[Київ,Фора-067 Василенко,19]" c="Київ,Фора-067 Василенко,19"/>
        <s v="[Store_directory].[Назва магазину].&amp;[Київ,Фора-049 Північна,46]" c="Київ,Фора-049 Північна,46"/>
        <s v="[Store_directory].[Назва магазину].&amp;[Київ,Фора-065 Рейгана,24]" c="Київ,Фора-065 Рейгана,24"/>
        <s v="[Store_directory].[Назва магазину].&amp;[Київ,Фора-077 Кубанської України,55]" c="Київ,Фора-077 Кубанської України,55"/>
        <s v="[Store_directory].[Назва магазину].&amp;[Київ,Фора-066 Іжакевича,1/24]" c="Київ,Фора-066 Іжакевича,1/24"/>
        <s v="[Store_directory].[Назва магазину].&amp;[Київ,Фора-068 Білецького,11]" c="Київ,Фора-068 Білецького,11"/>
        <s v="[Store_directory].[Назва магазину].&amp;[Київ,Фора-070 Ялтинська,6]" c="Київ,Фора-070 Ялтинська,6"/>
        <s v="[Store_directory].[Назва магазину].&amp;[Київ,Фора-082 Антонова,11]" c="Київ,Фора-082 Антонова,11"/>
        <s v="[Store_directory].[Назва магазину].&amp;[Київ,Фора-089 Відрадний,14/45]" c="Київ,Фора-089 Відрадний,14/45"/>
        <s v="[Store_directory].[Назва магазину].&amp;[Вишневе,Фора-084 Примаченко,7]" c="Вишневе,Фора-084 Примаченко,7"/>
        <s v="[Store_directory].[Назва магазину].&amp;[Вишневе,Фора-079 Освіти,2]" c="Вишневе,Фора-079 Освіти,2"/>
        <s v="[Store_directory].[Назва магазину].&amp;[БЦерква,Фора-476 Незалежності,57]" c="БЦерква,Фора-476 Незалежності,57"/>
        <s v="[Store_directory].[Назва магазину].&amp;[Київ,Фора-477 Бальзака,85]" c="Київ,Фора-477 Бальзака,85"/>
        <s v="[Store_directory].[Назва магазину].&amp;[Українка,Фора-480 Соснова,5А]" c="Українка,Фора-480 Соснова,5А"/>
        <s v="[Store_directory].[Назва магазину].&amp;[Київ,Фора-386 Чавдар,32]" c="Київ,Фора-386 Чавдар,32"/>
        <s v="[Store_directory].[Назва магазину].&amp;[Київ,Фора-081 Ратушного,21А]" c="Київ,Фора-081 Ратушного,21А"/>
        <s v="[Store_directory].[Назва магазину].&amp;[Київ,Фора-083 Солом'янська,40/4]" c="Київ,Фора-083 Солом'янська,40/4"/>
        <s v="[Store_directory].[Назва магазину].&amp;[Київ,Фора-085 Іваниса,15]" c="Київ,Фора-085 Іваниса,15"/>
        <s v="[Store_directory].[Назва магазину].&amp;[Київ,Фора-093 Кондратюка,2А]" c="Київ,Фора-093 Кондратюка,2А"/>
        <s v="[Store_directory].[Назва магазину].&amp;[Київ,Фора-090 Кубанської,України,47]" c="Київ,Фора-090 Кубанської,України,47"/>
        <s v="[Store_directory].[Назва магазину].&amp;[Київ,Фора-088 Татарська,3/2]" c="Київ,Фора-088 Татарська,3/2"/>
        <s v="[Store_directory].[Назва магазину].&amp;[Київ,Фора-091 Гавела Вацлава,29]" c="Київ,Фора-091 Гавела Вацлава,29"/>
        <s v="[Store_directory].[Назва магазину].&amp;[Київ,Фора-087 Бальзака,42/20]" c="Київ,Фора-087 Бальзака,42/20"/>
        <s v="[Store_directory].[Назва магазину].&amp;[Київ,Фора-272 Червоної Калини,63/12]" c="Київ,Фора-272 Червоної Калини,63/12"/>
        <s v="[Store_directory].[Назва магазину].&amp;[Київ,Фора-095 Алматинська,41Б]" c="Київ,Фора-095 Алматинська,41Б"/>
        <s v="[Store_directory].[Назва магазину].&amp;[Кагарлик,Фора-101 Торгівельна,6]" c="Кагарлик,Фора-101 Торгівельна,6"/>
        <s v="[Store_directory].[Назва магазину].&amp;[Конотоп,Фора-102 Лазаревського,12]" c="Конотоп,Фора-102 Лазаревського,12"/>
        <s v="[Store_directory].[Назва магазину].&amp;[Немішаєве,Фора-103 Заводська,49А]" c="Немішаєве,Фора-103 Заводська,49А"/>
        <s v="[Store_directory].[Назва магазину].&amp;[Київ,Фора-105 Руденка,7Б]" c="Київ,Фора-105 Руденка,7Б"/>
        <s v="[Store_directory].[Назва магазину].&amp;[Київ,Фора-106 Заболотного,48А]" c="Київ,Фора-106 Заболотного,48А"/>
        <s v="[Store_directory].[Назва магазину].&amp;[Рокитне,Фора-111 Першотравнева,11]" c="Рокитне,Фора-111 Першотравнева,11"/>
        <s v="[Store_directory].[Назва магазину].&amp;[Бориспіль,Фора-108 Київський шлях,100]" c="Бориспіль,Фора-108 Київський шлях,100"/>
        <s v="[Store_directory].[Назва магазину].&amp;[Київ,Фора-109 Доброхотова,11А]" c="Київ,Фора-109 Доброхотова,11А"/>
        <s v="[Store_directory].[Назва магазину].&amp;[Українка,Фора-114 Юності,3]" c="Українка,Фора-114 Юності,3"/>
        <s v="[Store_directory].[Назва магазину].&amp;[Київ,Фора-115 Руденка,24]" c="Київ,Фора-115 Руденка,24"/>
        <s v="[Store_directory].[Назва магазину].&amp;[Київ,Фора-116 Європейського Союзу,94]" c="Київ,Фора-116 Європейського Союзу,94"/>
        <s v="[Store_directory].[Назва магазину].&amp;[Київ,Фора-117 Новомостицька,2]" c="Київ,Фора-117 Новомостицька,2"/>
        <s v="[Store_directory].[Назва магазину].&amp;[Київ,Фора-118 Березняківська,36А]" c="Київ,Фора-118 Березняківська,36А"/>
        <s v="[Store_directory].[Назва магазину].&amp;[Київ,Фора-119 Харківське Шосе,8]" c="Київ,Фора-119 Харківське Шосе,8"/>
        <s v="[Store_directory].[Назва магазину].&amp;[Київ,Фора-126 Парково-Сирецька,12]" c="Київ,Фора-126 Парково-Сирецька,12"/>
        <s v="[Store_directory].[Назва магазину].&amp;[Київ,Фора-120 Берлінського,14]" c="Київ,Фора-120 Берлінського,14"/>
        <s v="[Store_directory].[Назва магазину].&amp;[Київ,Фора-121 Глушкова,31А]" c="Київ,Фора-121 Глушкова,31А"/>
        <s v="[Store_directory].[Назва магазину].&amp;[Вишневе,Фора-124 Святошинська,40]" c="Вишневе,Фора-124 Святошинська,40"/>
        <s v="[Store_directory].[Назва магазину].&amp;[Київ,Фора-128 Вишгородська,44]" c="Київ,Фора-128 Вишгородська,44"/>
        <s v="[Store_directory].[Назва магазину].&amp;[Буча,Фора-130 Яблунська,203Б]" c="Буча,Фора-130 Яблунська,203Б"/>
        <s v="[Store_directory].[Назва магазину].&amp;[Київ,Фора-131 Борщагівська,212]" c="Київ,Фора-131 Борщагівська,212"/>
        <s v="[Store_directory].[Назва магазину].&amp;[Узин,Фора-132 Богуна,21А]" c="Узин,Фора-132 Богуна,21А"/>
        <s v="[Store_directory].[Назва магазину].&amp;[Новосілки,Фора-133 Садова,6А]" c="Новосілки,Фора-133 Садова,6А"/>
        <s v="[Store_directory].[Назва магазину].&amp;[БЦерква,Фора-134 Сквирське Шосе,260А]" c="БЦерква,Фора-134 Сквирське Шосе,260А"/>
        <s v="[Store_directory].[Назва магазину].&amp;[Миронівка,Фора-136 Бузницького,1]" c="Миронівка,Фора-136 Бузницького,1"/>
        <s v="[Store_directory].[Назва магазину].&amp;[Київ,Фора-154 Кустанайська,10]" c="Київ,Фора-154 Кустанайська,10"/>
        <s v="[Store_directory].[Назва магазину].&amp;[Бахмач,Фора-156 Мудрого,24]" c="Бахмач,Фора-156 Мудрого,24"/>
        <s v="[Store_directory].[Назва магазину].&amp;[Київ,Фора-158 Бекешкіної,12]" c="Київ,Фора-158 Бекешкіної,12"/>
        <s v="[Store_directory].[Назва магазину].&amp;[Київ,Фора-164 Гавела Вацлава,83]" c="Київ,Фора-164 Гавела Вацлава,83"/>
        <s v="[Store_directory].[Назва магазину].&amp;[Київ,Фора-165 Жуля Верна,7]" c="Київ,Фора-165 Жуля Верна,7"/>
        <s v="[Store_directory].[Назва магазину].&amp;[Калинівка,Фора-178 Центральна,78А]" c="Калинівка,Фора-178 Центральна,78А"/>
        <s v="[Store_directory].[Назва магазину].&amp;[Димер,Фора-181 Бударіна,5]" c="Димер,Фора-181 Бударіна,5"/>
        <s v="[Store_directory].[Назва магазину].&amp;[Київ,Фора-183 Бальзака,94]" c="Київ,Фора-183 Бальзака,94"/>
        <s v="[Store_directory].[Назва магазину].&amp;[Березань,Фора-184 Привокзальна,1Б]" c="Березань,Фора-184 Привокзальна,1Б"/>
        <s v="[Store_directory].[Назва магазину].&amp;[Тетіїв,Фора-185 Соборна,19]" c="Тетіїв,Фора-185 Соборна,19"/>
        <s v="[Store_directory].[Назва магазину].&amp;[Боярка,Фора-186 Симона Петлюри,2]" c="Боярка,Фора-186 Симона Петлюри,2"/>
        <s v="[Store_directory].[Назва магазину].&amp;[Глеваха,Фора-187 Вокзальна,18А]" c="Глеваха,Фора-187 Вокзальна,18А"/>
        <s v="[Store_directory].[Назва магазину].&amp;[Київ,Фора-188 Гавела Вацлава,45]" c="Київ,Фора-188 Гавела Вацлава,45"/>
        <s v="[Store_directory].[Назва магазину].&amp;[Київ,Фора-190 Черчилля,33/10]" c="Київ,Фора-190 Черчилля,33/10"/>
        <s v="[Store_directory].[Назва магазину].&amp;[Гостомель,Фора-191 Рекунова,1]" c="Гостомель,Фора-191 Рекунова,1"/>
        <s v="[Store_directory].[Назва магазину].&amp;[Київ,Фора-192 Закревського,93А]" c="Київ,Фора-192 Закревського,93А"/>
        <s v="[Store_directory].[Назва магазину].&amp;[Київ,Фора-193 Гавела Вацлава,54/26]" c="Київ,Фора-193 Гавела Вацлава,54/26"/>
        <s v="[Store_directory].[Назва магазину].&amp;[Київ,Фора-194 Лагерна,46/48]" c="Київ,Фора-194 Лагерна,46/48"/>
        <s v="[Store_directory].[Назва магазину].&amp;[Київ,Фора-195 Науки,24]" c="Київ,Фора-195 Науки,24"/>
        <s v="[Store_directory].[Назва магазину].&amp;[Бориспіль,Фора-197 Київський шлях,90]" c="Бориспіль,Фора-197 Київський шлях,90"/>
        <s v="[Store_directory].[Назва магазину].&amp;[Київ,Фора-198 Кіпріанова,8]" c="Київ,Фора-198 Кіпріанова,8"/>
        <s v="[Store_directory].[Назва магазину].&amp;[Київ,Фора-199 Миропільська,11]" c="Київ,Фора-199 Миропільська,11"/>
        <s v="[Store_directory].[Назва магазину].&amp;[БЦерква,Фора-202 Павліченко,63]" c="БЦерква,Фора-202 Павліченко,63"/>
        <s v="[Store_directory].[Назва магазину].&amp;[Бровари,Фора-208 Грушевського,17]" c="Бровари,Фора-208 Грушевського,17"/>
        <s v="[Store_directory].[Назва магазину].&amp;[Борова,Фора-209 Миру,15]" c="Борова,Фора-209 Миру,15"/>
        <s v="[Store_directory].[Назва магазину].&amp;[Київ,Фора-210 Ревуцького,26]" c="Київ,Фора-210 Ревуцького,26"/>
        <s v="[Store_directory].[Назва магазину].&amp;[Київ,Фора-211 Драгоманова,19]" c="Київ,Фора-211 Драгоманова,19"/>
        <s v="[Store_directory].[Назва магазину].&amp;[Вишневе,Фора-212 Чорновола,46Б]" c="Вишневе,Фора-212 Чорновола,46Б"/>
        <s v="[Store_directory].[Назва магазину].&amp;[Київ,Фора-215 Корольова,8]" c="Київ,Фора-215 Корольова,8"/>
        <s v="[Store_directory].[Назва магазину].&amp;[СофБорщагівка,Фора-216 Українки,19]" c="СофБорщагівка,Фора-216 Українки,19"/>
        <s v="[Store_directory].[Назва магазину].&amp;[Київ,Фора-217 Світлицького,26Б]" c="Київ,Фора-217 Світлицького,26Б"/>
        <s v="[Store_directory].[Назва магазину].&amp;[Київ,Фора-218 Тампере,12]" c="Київ,Фора-218 Тампере,12"/>
        <s v="[Store_directory].[Назва магазину].&amp;[Святопетрів,Фора-219 Володимирська,2Г]" c="Святопетрів,Фора-219 Володимирська,2Г"/>
        <s v="[Store_directory].[Назва магазину].&amp;[Гнідин,Фора-220 Олександрівська,22]" c="Гнідин,Фора-220 Олександрівська,22"/>
        <s v="[Store_directory].[Назва магазину].&amp;[Київ,Фора-221 Хмельницького,39/2]" c="Київ,Фора-221 Хмельницького,39/2"/>
        <s v="[Store_directory].[Назва магазину].&amp;[Бровари,Фора-223 Шевченка,10В]" c="Бровари,Фора-223 Шевченка,10В"/>
        <s v="[Store_directory].[Назва магазину].&amp;[Київ,Фора-225 Новопирогівська,31]" c="Київ,Фора-225 Новопирогівська,31"/>
        <s v="[Store_directory].[Назва магазину].&amp;[Бориспіль,Фора-226 Момота,42/5]" c="Бориспіль,Фора-226 Момота,42/5"/>
        <s v="[Store_directory].[Назва магазину].&amp;[Ржищів,Фора-231 Соборна,23]" c="Ржищів,Фора-231 Соборна,23"/>
        <s v="[Store_directory].[Назва магазину].&amp;[Київ,Фора-232 Будівельників,8]" c="Київ,Фора-232 Будівельників,8"/>
        <s v="[Store_directory].[Назва магазину].&amp;[Яготин,Фора-233 Незалежності,130]" c="Яготин,Фора-233 Незалежності,130"/>
        <s v="[Store_directory].[Назва магазину].&amp;[Київ,Фора-234 Ентузіастів,37]" c="Київ,Фора-234 Ентузіастів,37"/>
        <s v="[Store_directory].[Назва магазину].&amp;[Київ,Фора-236 Закревського,87]" c="Київ,Фора-236 Закревського,87"/>
        <s v="[Store_directory].[Назва магазину].&amp;[Гостомель,Фора-238 Свято-Покровська,73В]" c="Гостомель,Фора-238 Свято-Покровська,73В"/>
        <s v="[Store_directory].[Назва магазину].&amp;[Козин,Фора-240 Солов'яненка,60]" c="Козин,Фора-240 Солов'яненка,60"/>
        <s v="[Store_directory].[Назва магазину].&amp;[Київ,Фора-243 Печенізька,1/7А]" c="Київ,Фора-243 Печенізька,1/7А"/>
        <s v="[Store_directory].[Назва магазину].&amp;[Київ,Фора-244 Гетьмана,34]" c="Київ,Фора-244 Гетьмана,34"/>
        <s v="[Store_directory].[Назва магазину].&amp;[Київ,Фора-245 Борщагівська,128]" c="Київ,Фора-245 Борщагівська,128"/>
        <s v="[Store_directory].[Назва магазину].&amp;[Бориспіль,Фора-246 Калмикова,2]" c="Бориспіль,Фора-246 Калмикова,2"/>
        <s v="[Store_directory].[Назва магазину].&amp;[Кагарлик,Фора-247 Незалежності,14]" c="Кагарлик,Фора-247 Незалежності,14"/>
        <s v="[Store_directory].[Назва магазину].&amp;[Велика Димерка,Фора-248 Промислова,2Б]" c="Велика Димерка,Фора-248 Промислова,2Б"/>
        <s v="[Store_directory].[Назва магазину].&amp;[Київ,Фора-249 Левицького,19А]" c="Київ,Фора-249 Левицького,19А"/>
        <s v="[Store_directory].[Назва магазину].&amp;[Київ,Фора-250 Ружинська,26/41]" c="Київ,Фора-250 Ружинська,26/41"/>
        <s v="[Store_directory].[Назва магазину].&amp;[Київ,Фора-251 Покотила,7/2]" c="Київ,Фора-251 Покотила,7/2"/>
        <s v="[Store_directory].[Назва магазину].&amp;[Бородянка,Фора-252 Паркова,2]" c="Бородянка,Фора-252 Паркова,2"/>
        <s v="[Store_directory].[Назва магазину].&amp;[ПетрБорщагівка,Фора-254 Садова,1Г]" c="ПетрБорщагівка,Фора-254 Садова,1Г"/>
        <s v="[Store_directory].[Назва магазину].&amp;[Глеваха,Фора-255 Ботанічна,19]" c="Глеваха,Фора-255 Ботанічна,19"/>
        <s v="[Store_directory].[Назва магазину].&amp;[Київ,Фора-257 Білецького,3]" c="Київ,Фора-257 Білецького,3"/>
        <s v="[Store_directory].[Назва магазину].&amp;[Бровари,Фора-258 Оникієнка,20/2]" c="Бровари,Фора-258 Оникієнка,20/2"/>
        <s v="[Store_directory].[Назва магазину].&amp;[Бровари,Фора-259 Київська,92]" c="Бровари,Фора-259 Київська,92"/>
        <s v="[Store_directory].[Назва магазину].&amp;[Київ,Фора-262 Науки,88]" c="Київ,Фора-262 Науки,88"/>
        <s v="[Store_directory].[Назва магазину].&amp;[Київ,Фора-263 Воробйова,11]" c="Київ,Фора-263 Воробйова,11"/>
        <s v="[Store_directory].[Назва магазину].&amp;[Київ,Фора-264 Зодчих,16]" c="Київ,Фора-264 Зодчих,16"/>
        <s v="[Store_directory].[Назва магазину].&amp;[Баришівка,Фора-265 Центральна,15]" c="Баришівка,Фора-265 Центральна,15"/>
        <s v="[Store_directory].[Назва магазину].&amp;[Київ,Фора-266 Метрологічна,14Б]" c="Київ,Фора-266 Метрологічна,14Б"/>
        <s v="[Store_directory].[Назва магазину].&amp;[Київ,Фора-267 Дніпроводська,7]" c="Київ,Фора-267 Дніпроводська,7"/>
        <s v="[Store_directory].[Назва магазину].&amp;[Київ,Фора-270 Вереснева,24]" c="Київ,Фора-270 Вереснева,24"/>
        <s v="[Store_directory].[Назва магазину].&amp;[Гнідин,Фора-271 Центральна,23А]" c="Гнідин,Фора-271 Центральна,23А"/>
        <s v="[Store_directory].[Назва магазину].&amp;[Київ,Фора-273 Мрії,16]" c="Київ,Фора-273 Мрії,16"/>
        <s v="[Store_directory].[Назва магазину].&amp;[Святопетрів,Фора-274 Шевченка,1]" c="Святопетрів,Фора-274 Шевченка,1"/>
        <s v="[Store_directory].[Назва магазину].&amp;[Київ,Фора-275 Броварський,51]" c="Київ,Фора-275 Броварський,51"/>
        <s v="[Store_directory].[Назва магазину].&amp;[Требухів,Фора-276 Броварська,19А]" c="Требухів,Фора-276 Броварська,19А"/>
        <s v="[Store_directory].[Назва магазину].&amp;[Київ,Фора-277 Якуба Коласа,25]" c="Київ,Фора-277 Якуба Коласа,25"/>
        <s v="[Store_directory].[Назва магазину].&amp;[Гоголів,Фора-280 Київська,167Г]" c="Гоголів,Фора-280 Київська,167Г"/>
        <s v="[Store_directory].[Назва магазину].&amp;[Київ,Фора-281 Кирилівська,122/1]" c="Київ,Фора-281 Кирилівська,122/1"/>
        <s v="[Store_directory].[Назва магазину].&amp;[Київ,Фора-282 Ентузіастів,7]" c="Київ,Фора-282 Ентузіастів,7"/>
        <s v="[Store_directory].[Назва магазину].&amp;[Буча,Фора-283 Склозаводська,10Б]" c="Буча,Фора-283 Склозаводська,10Б"/>
        <s v="[Store_directory].[Назва магазину].&amp;[Київ,Фора-284 Деревлянська,14]" c="Київ,Фора-284 Деревлянська,14"/>
        <s v="[Store_directory].[Назва магазину].&amp;[Київ,Фора-285 Єфремова,8А]" c="Київ,Фора-285 Єфремова,8А"/>
        <s v="[Store_directory].[Назва магазину].&amp;[Київ,Фора-286 Бучми,6А]" c="Київ,Фора-286 Бучми,6А"/>
        <s v="[Store_directory].[Назва магазину].&amp;[Тараща,Фора-287 Хмельницького,6]" c="Тараща,Фора-287 Хмельницького,6"/>
        <s v="[Store_directory].[Назва магазину].&amp;[Київ,Фора-288 Лук'янівська,1]" c="Київ,Фора-288 Лук'янівська,1"/>
        <s v="[Store_directory].[Назва магазину].&amp;[Бровари,Фора-289 Незалежності,7]" c="Бровари,Фора-289 Незалежності,7"/>
        <s v="[Store_directory].[Назва магазину].&amp;[НовПетрівці,Фора-290 СвПокровськ,222,224]" c="НовПетрівці,Фора-290 СвПокровськ,222,224"/>
        <s v="[Store_directory].[Назва магазину].&amp;[Київ,Фора-292 Гузара,28]" c="Київ,Фора-292 Гузара,28"/>
        <s v="[Store_directory].[Назва магазину].&amp;[Гора,Фора-293 Калинова,2]" c="Гора,Фора-293 Калинова,2"/>
        <s v="[Store_directory].[Назва магазину].&amp;[Крюківщина,Фора-294 Жулянська,1А]" c="Крюківщина,Фора-294 Жулянська,1А"/>
        <s v="[Store_directory].[Назва магазину].&amp;[Березань,Фора-296 Шевченків Шлях,140А]" c="Березань,Фора-296 Шевченків Шлях,140А"/>
        <s v="[Store_directory].[Назва магазину].&amp;[Київ,Фора-297 Верхогляда,2А]" c="Київ,Фора-297 Верхогляда,2А"/>
        <s v="[Store_directory].[Назва магазину].&amp;[Княжичі,Фора-298 Лагунової,74]" c="Княжичі,Фора-298 Лагунової,74"/>
        <s v="[Store_directory].[Назва магазину].&amp;[Боярка,Фора-299 Молодіжна,76А]" c="Боярка,Фора-299 Молодіжна,76А"/>
        <s v="[Store_directory].[Назва магазину].&amp;[Зазим'я,Фора-300 Лісова,55]" c="Зазим'я,Фора-300 Лісова,55"/>
        <s v="[Store_directory].[Назва магазину].&amp;[Ставище,Фора-303 Паркова,4]" c="Ставище,Фора-303 Паркова,4"/>
        <s v="[Store_directory].[Назва магазину].&amp;[Київ,Фора-304 Заболотного,128А]" c="Київ,Фора-304 Заболотного,128А"/>
        <s v="[Store_directory].[Назва магазину].&amp;[Ірпінь,Фора-305 Центральна,29]" c="Ірпінь,Фора-305 Центральна,29"/>
        <s v="[Store_directory].[Назва магазину].&amp;[Київ,Фора-306 Тичини,15А]" c="Київ,Фора-306 Тичини,15А"/>
        <s v="[Store_directory].[Назва магазину].&amp;[Київ,Фора-308 Пулюя,5]" c="Київ,Фора-308 Пулюя,5"/>
        <s v="[Store_directory].[Назва магазину].&amp;[Київ,Фора-309 Чорних Запорожців,28]" c="Київ,Фора-309 Чорних Запорожців,28"/>
        <s v="[Store_directory].[Назва магазину].&amp;[Клавдієво-Тарасов,Фора-310 Центральна,2Ж]" c="Клавдієво-Тарасов,Фора-310 Центральна,2Ж"/>
        <s v="[Store_directory].[Назва магазину].&amp;[Козин,Фора-311 Обухівське Шосе,39]" c="Козин,Фора-311 Обухівське Шосе,39"/>
        <s v="[Store_directory].[Назва магазину].&amp;[Щасливе,Фора-312 Харківське Шосе,15]" c="Щасливе,Фора-312 Харківське Шосе,15"/>
        <s v="[Store_directory].[Назва магазину].&amp;[СофБорщагівка,Фора-313 Яблунева,13А]" c="СофБорщагівка,Фора-313 Яблунева,13А"/>
        <s v="[Store_directory].[Назва магазину].&amp;[Мила,Фора-314 Комарова,44В]" c="Мила,Фора-314 Комарова,44В"/>
        <s v="[Store_directory].[Назва магазину].&amp;[Калита,Фора-315 Миру,45]" c="Калита,Фора-315 Миру,45"/>
        <s v="[Store_directory].[Назва магазину].&amp;[Погреби,Фора-316 Соборна,2]" c="Погреби,Фора-316 Соборна,2"/>
        <s v="[Store_directory].[Назва магазину].&amp;[Гребінки,Фора-317 Київська,99]" c="Гребінки,Фора-317 Київська,99"/>
        <s v="[Store_directory].[Назва магазину].&amp;[ПетрБорщагівка,Фора-318 Львівська,1А]" c="ПетрБорщагівка,Фора-318 Львівська,1А"/>
        <s v="[Store_directory].[Назва магазину].&amp;[СофБорщагівка,Фора-319 Сагайдачного,20А]" c="СофБорщагівка,Фора-319 Сагайдачного,20А"/>
        <s v="[Store_directory].[Назва магазину].&amp;[Ірпінь,Фора-320 Університетська,2Ф/3]" c="Ірпінь,Фора-320 Університетська,2Ф/3"/>
        <s v="[Store_directory].[Назва магазину].&amp;[Ворзель,Фора-321 Курортна,60А]" c="Ворзель,Фора-321 Курортна,60А"/>
        <s v="[Store_directory].[Назва магазину].&amp;[Глеваха,Фора-322 Грушевського,42]" c="Глеваха,Фора-322 Грушевського,42"/>
        <s v="[Store_directory].[Назва магазину].&amp;[Бориспіль,Фора-323 Головатого,30]" c="Бориспіль,Фора-323 Головатого,30"/>
        <s v="[Store_directory].[Назва магазину].&amp;[Коцюбинське,Фора-324 Доківська,14/1]" c="Коцюбинське,Фора-324 Доківська,14/1"/>
        <s v="[Store_directory].[Назва магазину].&amp;[Вороньків,Фора-326 Вишнева,18]" c="Вороньків,Фора-326 Вишнева,18"/>
        <s v="[Store_directory].[Назва магазину].&amp;[Хотянівка,Фора-327 Валова,2В]" c="Хотянівка,Фора-327 Валова,2В"/>
        <s v="[Store_directory].[Назва магазину].&amp;[Київ,Фора-328 Португальська,2А]" c="Київ,Фора-328 Португальська,2А"/>
        <s v="[Store_directory].[Назва магазину].&amp;[Гатне,Фора-329 Інститутська,16]" c="Гатне,Фора-329 Інститутська,16"/>
        <s v="[Store_directory].[Назва магазину].&amp;[Лютіж,Фора-330 Визволителів,56А]" c="Лютіж,Фора-330 Визволителів,56А"/>
        <s v="[Store_directory].[Назва магазину].&amp;[Віта-Поштова,Фора-331 Боярська,4Б]" c="Віта-Поштова,Фора-331 Боярська,4Б"/>
        <s v="[Store_directory].[Назва магазину].&amp;[Калинівка,Фора-332 Чернігівська,12]" c="Калинівка,Фора-332 Чернігівська,12"/>
        <s v="[Store_directory].[Назва магазину].&amp;[Ірпінь,Фора-333 Ново-Оскольська,2П]" c="Ірпінь,Фора-333 Ново-Оскольська,2П"/>
        <s v="[Store_directory].[Назва магазину].&amp;[Ірпінь,Фора-334 Сковороди,11]" c="Ірпінь,Фора-334 Сковороди,11"/>
        <s v="[Store_directory].[Назва магазину].&amp;[Білогородка,Фора-335 Володимирська,35/1]" c="Білогородка,Фора-335 Володимирська,35/1"/>
        <s v="[Store_directory].[Назва магазину].&amp;[Бровари,Фора-336 Москаленка,39]" c="Бровари,Фора-336 Москаленка,39"/>
        <s v="[Store_directory].[Назва магазину].&amp;[Вишгород,Фора-337 Ягідна,5А]" c="Вишгород,Фора-337 Ягідна,5А"/>
        <s v="[Store_directory].[Назва магазину].&amp;[Бровари,Фора-338 Київська,4]" c="Бровари,Фора-338 Київська,4"/>
        <s v="[Store_directory].[Назва магазину].&amp;[Київ,Фора-339 Волинська,9Б]" c="Київ,Фора-339 Волинська,9Б"/>
        <s v="[Store_directory].[Назва магазину].&amp;[Пісківка,Фора-340 Привокзальна,16Б]" c="Пісківка,Фора-340 Привокзальна,16Б"/>
        <s v="[Store_directory].[Назва магазину].&amp;[Гореничі,Фора-341 АД О100720 /М06]" c="Гореничі,Фора-341 АД О100720 /М06"/>
        <s v="[Store_directory].[Назва магазину].&amp;[Вишневе,Фора-342 Київська,2Л]" c="Вишневе,Фора-342 Київська,2Л"/>
        <s v="[Store_directory].[Назва магазину].&amp;[Макарів,Фора-344 Ростовського,1]" c="Макарів,Фора-344 Ростовського,1"/>
        <s v="[Store_directory].[Назва магазину].&amp;[Вишгород,Фора-345 Мазепи,2А]" c="Вишгород,Фора-345 Мазепи,2А"/>
        <s v="[Store_directory].[Назва магазину].&amp;[Чубинське,Фора-346 Бориспільська,8]" c="Чубинське,Фора-346 Бориспільська,8"/>
        <s v="[Store_directory].[Назва магазину].&amp;[Богуслав,Фора-347 Шевченка,24]" c="Богуслав,Фора-347 Шевченка,24"/>
        <s v="[Store_directory].[Назва магазину].&amp;[Київ,Фора-348 Осьмака,1Б]" c="Київ,Фора-348 Осьмака,1Б"/>
        <s v="[Store_directory].[Назва магазину].&amp;[Славутич,Фора-349 Поліський квартал,60]" c="Славутич,Фора-349 Поліський квартал,60"/>
        <s v="[Store_directory].[Назва магазину].&amp;[Крюківщина,Фора-350 Одеська,70]" c="Крюківщина,Фора-350 Одеська,70"/>
        <s v="[Store_directory].[Назва магазину].&amp;[Гнідин,Фора-351 Олександрівська,56]" c="Гнідин,Фора-351 Олександрівська,56"/>
        <s v="[Store_directory].[Назва магазину].&amp;[Гостомель,Фора-352 Садова,2]" c="Гостомель,Фора-352 Садова,2"/>
        <s v="[Store_directory].[Назва магазину].&amp;[Бориспіль,Фора-353 Київський шлях,60]" c="Бориспіль,Фора-353 Київський шлях,60"/>
        <s v="[Store_directory].[Назва магазину].&amp;[Лісники,Фора-354 Родини Рубанів,164А]" c="Лісники,Фора-354 Родини Рубанів,164А"/>
        <s v="[Store_directory].[Назва магазину].&amp;[Іванків,Фора-355 Габорака,32]" c="Іванків,Фора-355 Габорака,32"/>
        <s v="[Store_directory].[Назва магазину].&amp;[Боярка,Фора-356 Михайлівська,6]" c="Боярка,Фора-356 Михайлівська,6"/>
        <s v="[Store_directory].[Назва магазину].&amp;[Бориспіль,Фора-357 Київський шлях,14Ж]" c="Бориспіль,Фора-357 Київський шлях,14Ж"/>
        <s v="[Store_directory].[Назва магазину].&amp;[Новосілки,Фора-358 Приміська,26]" c="Новосілки,Фора-358 Приміська,26"/>
        <s v="[Store_directory].[Назва магазину].&amp;[Чабани,Фора-359 Машинобудівників,5Д]" c="Чабани,Фора-359 Машинобудівників,5Д"/>
        <s v="[Store_directory].[Назва магазину].&amp;[Катюжанка,Фора-360 Київська,60]" c="Катюжанка,Фора-360 Київська,60"/>
        <s v="[Store_directory].[Назва магазину].&amp;[ПетрБорщагівка,Фора-361 Соборна,16]" c="ПетрБорщагівка,Фора-361 Соборна,16"/>
        <s v="[Store_directory].[Назва магазину].&amp;[Хотів,Фора-362 Шевченка,11]" c="Хотів,Фора-362 Шевченка,11"/>
        <s v="[Store_directory].[Назва магазину].&amp;[Київ,Фора-364 Тираспольська,56]" c="Київ,Фора-364 Тираспольська,56"/>
        <s v="[Store_directory].[Назва магазину].&amp;[Погреби,Фора-366 Погребський шлях,39]" c="Погреби,Фора-366 Погребський шлях,39"/>
        <s v="[Store_directory].[Назва магазину].&amp;[Іванків,Фора-367 Харківська,22Г]" c="Іванків,Фора-367 Харківська,22Г"/>
        <s v="[Store_directory].[Назва магазину].&amp;[Гостомель,Фора-369 Гостомельське Шосе,1]" c="Гостомель,Фора-369 Гостомельське Шосе,1"/>
        <s v="[Store_directory].[Назва магазину].&amp;[Яготин,Фора-371 Незалежності,19]" c="Яготин,Фора-371 Незалежності,19"/>
        <s v="[Store_directory].[Назва магазину].&amp;[Шевченкове,Фора-372 Ювілейний,1]" c="Шевченкове,Фора-372 Ювілейний,1"/>
        <s v="[Store_directory].[Назва магазину].&amp;[Коцюбинське,Фора-374 Пономарьова,26]" c="Коцюбинське,Фора-374 Пономарьова,26"/>
        <s v="[Store_directory].[Назва магазину].&amp;[Димер,Фора-375 Соборна,73]" c="Димер,Фора-375 Соборна,73"/>
        <s v="[Store_directory].[Назва магазину].&amp;[Новосілки,Фора-376 Васильківська,21]" c="Новосілки,Фора-376 Васильківська,21"/>
        <s v="[Store_directory].[Назва магазину].&amp;[Сквира,Фора-377 Соборна,7]" c="Сквира,Фора-377 Соборна,7"/>
        <s v="[Store_directory].[Назва магазину].&amp;[Ірпінь,Фора-378 Чайковського,5]" c="Ірпінь,Фора-378 Чайковського,5"/>
        <s v="[Store_directory].[Назва магазину].&amp;[Васильків,Фора-380 Київський шлях,21,23]" c="Васильків,Фора-380 Київський шлях,21,23"/>
        <s v="[Store_directory].[Назва магазину].&amp;[Красилівка,Фора-382 Європейська,1]" c="Красилівка,Фора-382 Європейська,1"/>
        <s v="[Store_directory].[Назва магазину].&amp;[Переяслав,Фора-384 Хмельницького,96]" c="Переяслав,Фора-384 Хмельницького,96"/>
        <s v="[Store_directory].[Назва магазину].&amp;[Київ,Фора-388 Ясна,8]" c="Київ,Фора-388 Ясна,8"/>
        <s v="[Store_directory].[Назва магазину].&amp;[Вишневе,Фора-389 Вишні,3]" c="Вишневе,Фора-389 Вишні,3"/>
        <s v="[Store_directory].[Назва магазину].&amp;[Київ,Фора-391 Ізяславський,46-49]" c="Київ,Фора-391 Ізяславський,46-49"/>
        <s v="[Store_directory].[Назва магазину].&amp;[Чайки,Фора-392 Грушевського,12]" c="Чайки,Фора-392 Грушевського,12"/>
        <s v="[Store_directory].[Назва магазину].&amp;[ПетрБорщагівка,Фора-393 Княгині Ольги,67]" c="ПетрБорщагівка,Фора-393 Княгині Ольги,67"/>
        <s v="[Store_directory].[Назва магазину].&amp;[Київ,Фора-394 Лесі Українки,28]" c="Київ,Фора-394 Лесі Українки,28"/>
        <s v="[Store_directory].[Назва магазину].&amp;[Київ,Фора-396 Булаховського,3А]" c="Київ,Фора-396 Булаховського,3А"/>
        <s v="[Store_directory].[Назва магазину].&amp;[Фастів,Фора-398 Мазепи,6]" c="Фастів,Фора-398 Мазепи,6"/>
        <s v="[Store_directory].[Назва магазину].&amp;[Київ,Фора-399 Науки,58В]" c="Київ,Фора-399 Науки,58В"/>
        <s v="[Store_directory].[Назва магазину].&amp;[Боярка,Фора-400 Франка,101А]" c="Боярка,Фора-400 Франка,101А"/>
        <s v="[Store_directory].[Назва магазину].&amp;[Вишневе,Фора-401 Машинобудівників,11А]" c="Вишневе,Фора-401 Машинобудівників,11А"/>
        <s v="[Store_directory].[Назва магазину].&amp;[Київ,Фора-402 Юнкерова,92А]" c="Київ,Фора-402 Юнкерова,92А"/>
        <s v="[Store_directory].[Назва магазину].&amp;[Київ,Фора-403 Полуботка,9Г]" c="Київ,Фора-403 Полуботка,9Г"/>
        <s v="[Store_directory].[Назва магазину].&amp;[СофБорщагівка,Фора-404 Небесної Сотні,38]" c="СофБорщагівка,Фора-404 Небесної Сотні,38"/>
        <s v="[Store_directory].[Назва магазину].&amp;[Київ,Фора-408 Зарічна,6]" c="Київ,Фора-408 Зарічна,6"/>
        <s v="[Store_directory].[Назва магазину].&amp;[Київ,Фора-409 Лютеранська,3]" c="Київ,Фора-409 Лютеранська,3"/>
        <s v="[Store_directory].[Назва магазину].&amp;[Київ,Фора-410 Преображенська,28]" c="Київ,Фора-410 Преображенська,28"/>
        <s v="[Store_directory].[Назва магазину].&amp;[Київ,Фора-411 Гавела Вацлава,4]" c="Київ,Фора-411 Гавела Вацлава,4"/>
        <s v="[Store_directory].[Назва магазину].&amp;[Київ,Фора-416 Донецька,8А]" c="Київ,Фора-416 Донецька,8А"/>
        <s v="[Store_directory].[Назва магазину].&amp;[Київ,Фора-418 Берестейський,60]" c="Київ,Фора-418 Берестейський,60"/>
        <s v="[Store_directory].[Назва магазину].&amp;[БЦерква,Фора-420 Олександрійський,58Г]" c="БЦерква,Фора-420 Олександрійський,58Г"/>
        <s v="[Store_directory].[Назва магазину].&amp;[Біла Церква,Фора-421 Шевченка,87]" c="Біла Церква,Фора-421 Шевченка,87"/>
        <s v="[Store_directory].[Назва магазину].&amp;[Київ,Фора-427 Воскресенська,2В]" c="Київ,Фора-427 Воскресенська,2В"/>
        <s v="[Store_directory].[Назва магазину].&amp;[Київ,Фора-428 Чорновола,27]" c="Київ,Фора-428 Чорновола,27"/>
        <s v="[Store_directory].[Назва магазину].&amp;[Володарка,Фора-430 Миру,5]" c="Володарка,Фора-430 Миру,5"/>
        <s v="[Store_directory].[Назва магазину].&amp;[Ірпінь,Фора-462 Антонова,6]" c="Ірпінь,Фора-462 Антонова,6"/>
        <s v="[Store_directory].[Назва магазину].&amp;[Київ,Фора-463 Івасюка,39В]" c="Київ,Фора-463 Івасюка,39В"/>
        <s v="[Store_directory].[Назва магазину].&amp;[Київ,Фора-464 Оболонський,51В]" c="Київ,Фора-464 Оболонський,51В"/>
        <s v="[Store_directory].[Назва магазину].&amp;[Київ,Фора-465 Парково-Сирецька,1]" c="Київ,Фора-465 Парково-Сирецька,1"/>
        <s v="[Store_directory].[Назва магазину].&amp;[Київ,Фора-469 Шухевича,12]" c="Київ,Фора-469 Шухевича,12"/>
        <s v="[Store_directory].[Назва магазину].&amp;[Київ,Фора-489 Братства Тарасівців,3]" c="Київ,Фора-489 Братства Тарасівців,3"/>
        <s v="[Store_directory].[Назва магазину].&amp;[Київ,Фора-490 Повітряних Сил,44]" c="Київ,Фора-490 Повітряних Сил,44"/>
        <s v="[Store_directory].[Назва магазину].&amp;[Обухів,Фора-491 Каштанова,6/1]" c="Обухів,Фора-491 Каштанова,6/1"/>
        <s v="[Store_directory].[Назва магазину].&amp;[Київ,Фора-495 Оболонський,26]" c="Київ,Фора-495 Оболонський,26"/>
        <s v="[Store_directory].[Назва магазину].&amp;[Київ,Фора-496 Біличанська,1]" c="Київ,Фора-496 Біличанська,1"/>
        <s v="[Store_directory].[Назва магазину].&amp;[Київ,Фора-499 Йорданська,10]" c="Київ,Фора-499 Йорданська,10"/>
        <s v="[Store_directory].[Назва магазину].&amp;[Іванковичі,Фора-561 Соборна,10Ц]" c="Іванковичі,Фора-561 Соборна,10Ц"/>
        <s v="[Store_directory].[Назва магазину].&amp;[Згурівка,Фора-501 Центральна,4]" c="Згурівка,Фора-501 Центральна,4"/>
        <s v="[Store_directory].[Назва магазину].&amp;[Буча,Фора-514 Гмирі,7Б]" c="Буча,Фора-514 Гмирі,7Б"/>
        <s v="[Store_directory].[Назва магазину].&amp;[Нове,Фора-519 Крушельницької,1]" c="Нове,Фора-519 Крушельницької,1"/>
        <s v="[Store_directory].[Назва магазину].&amp;[Бишів,Фора-516 Київська,54]" c="Бишів,Фора-516 Київська,54"/>
        <s v="[Store_directory].[Назва магазину].&amp;[СофБорщагівка,Фора-506 Житня,12]" c="СофБорщагівка,Фора-506 Житня,12"/>
        <s v="[Store_directory].[Назва магазину].&amp;[Київ,Фора-507 Князя Мономаха,31]" c="Київ,Фора-507 Князя Мономаха,31"/>
        <s v="[Store_directory].[Назва магазину].&amp;[Київ,Фора-517 Брайчевського,13]" c="Київ,Фора-517 Брайчевського,13"/>
        <s v="[Store_directory].[Назва магазину].&amp;[Київ,Фора-521 Зодчих,62]" c="Київ,Фора-521 Зодчих,62"/>
        <s v="[Store_directory].[Назва магазину].&amp;[Київ,Фора-522 Миру,4]" c="Київ,Фора-522 Миру,4"/>
        <s v="[Store_directory].[Назва магазину].&amp;[Київ,Фора-523 Кибальчича,23]" c="Київ,Фора-523 Кибальчича,23"/>
        <s v="[Store_directory].[Назва магазину].&amp;[Ржищів,Фора-525 Київський Шлях,1]" c="Ржищів,Фора-525 Київський Шлях,1"/>
        <s v="[Store_directory].[Назва магазину].&amp;[Київ,Фора-527 Маланюка Євгена,101]" c="Київ,Фора-527 Маланюка Євгена,101"/>
        <s v="[Store_directory].[Назва магазину].&amp;[Київ,Фора-531 Воскресенський,32]" c="Київ,Фора-531 Воскресенський,32"/>
        <s v="[Store_directory].[Назва магазину].&amp;[Київ,Фора-532 Олени Теліги,31/1]" c="Київ,Фора-532 Олени Теліги,31/1"/>
        <s v="[Store_directory].[Назва магазину].&amp;[Київ,Фора-533 Преображенська,7]" c="Київ,Фора-533 Преображенська,7"/>
        <s v="[Store_directory].[Назва магазину].&amp;[Київ,Фора-577 Єфремова,23]" c="Київ,Фора-577 Єфремова,23"/>
        <s v="[Store_directory].[Назва магазину].&amp;[Київ,Фора-540 Столичне шосе,1 П-10]" c="Київ,Фора-540 Столичне шосе,1 П-10"/>
        <s v="[Store_directory].[Назва магазину].&amp;[Київ,Фора-567 Дмитрівська,96/98]" c="Київ,Фора-567 Дмитрівська,96/98"/>
        <s v="[Store_directory].[Назва магазину].&amp;[Київ,Фора-558 Вірського,37]" c="Київ,Фора-558 Вірського,37"/>
        <s v="[Store_directory].[Назва магазину].&amp;[Київ,Фора-543 Ревуцького,52]" c="Київ,Фора-543 Ревуцького,52"/>
        <s v="[Store_directory].[Назва магазину].&amp;[Ірпінь,Фора-544 Котляревського,56]" c="Ірпінь,Фора-544 Котляревського,56"/>
        <s v="[Store_directory].[Назва магазину].&amp;[Рокитне,Фора-564 Вокзальна,68Б]" c="Рокитне,Фора-564 Вокзальна,68Б"/>
        <s v="[Store_directory].[Назва магазину].&amp;[Житомир,Фора-536 Київська,106]" c="Житомир,Фора-536 Київська,106"/>
        <s v="[Store_directory].[Назва магазину].&amp;[Київ,Фора-545 Солов'яненка,7]" c="Київ,Фора-545 Солов'яненка,7"/>
        <s v="[Store_directory].[Назва магазину].&amp;[Київ,Фора-547 Чорних Запорожців,21]" c="Київ,Фора-547 Чорних Запорожців,21"/>
        <s v="[Store_directory].[Назва магазину].&amp;[Київ,Фора-548 Райдужна,67]" c="Київ,Фора-548 Райдужна,67"/>
        <s v="[Store_directory].[Назва магазину].&amp;[Київ,Фора-552 Світлицького,23]" c="Київ,Фора-552 Світлицького,23"/>
        <s v="[Store_directory].[Назва магазину].&amp;[Київ,Фора-560 Тростянецька,4/2]" c="Київ,Фора-560 Тростянецька,4/2"/>
        <s v="[Store_directory].[Назва магазину].&amp;[Київ,Фора-572 Дарницький,23]" c="Київ,Фора-572 Дарницький,23"/>
        <s v="[Store_directory].[Назва магазину].&amp;[Київ,Фора-574 Чибінєєвих Братів,8А]" c="Київ,Фора-574 Чибінєєвих Братів,8А"/>
        <s v="[Store_directory].[Назва магазину].&amp;[Крюківщина,Фора-580 Володимирська,1]" c="Крюківщина,Фора-580 Володимирська,1"/>
        <s v="[Store_directory].[Назва магазину].&amp;[Боярка,Фора-Proj-07 Соборності,53А]" c="Боярка,Фора-Proj-07 Соборності,53А"/>
        <s v="[Store_directory].[Назва магазину].&amp;[Тарасівка,Фора-586 Шевченка,178А]" c="Тарасівка,Фора-586 Шевченка,178А"/>
        <s v="[Store_directory].[Назва магазину].&amp;[Пухівка,Фора-Proj-18 Центральна,103А]" c="Пухівка,Фора-Proj-18 Центральна,103А"/>
        <s v="[Store_directory].[Назва магазину].&amp;[Київ,Фора-591 Куліша,15А]" c="Київ,Фора-591 Куліша,15А"/>
        <s v="[Store_directory].[Назва магазину].&amp;[Бородянка,Фора-064 Центральна,343]" c="Бородянка,Фора-064 Центральна,343"/>
        <s v="[Store_directory].[Назва магазину].&amp;[Фора Дирекція 5001]" c="Фора Дирекція 5001"/>
        <s v="[Store_directory].[Назва магазину].&amp;[Фора Загально збутове]" c="Фора Загально збутове"/>
        <s v="[Store_directory].[Назва магазину].&amp;[Київ,Фора МРЦ Зрошувальна,5]" c="Київ,Фора МРЦ Зрошувальна,5"/>
        <s v="[Store_directory].[Назва магазину].&amp;[Квітневе,Фора СРЦ Гоголівська,1а]" c="Квітневе,Фора СРЦ Гоголівська,1а"/>
        <s v="[Store_directory].[Назва магазину].&amp;[Квітневе,Фора Скороп РЦ Гоголівська,1-А]" c="Квітневе,Фора Скороп РЦ Гоголівська,1-А"/>
        <s v="[Store_directory].[Назва магазину].&amp;[Бердичів,Фора-110 Вінницька,18]" c="Бердичів,Фора-110 Вінницька,18"/>
        <s v="[Store_directory].[Назва магазину].&amp;[Коростень,Фора-135 Грушевського,34]" c="Коростень,Фора-135 Грушевського,34"/>
        <s v="[Store_directory].[Назва магазину].&amp;[Бердичів,Фора-142 Привокзальна,1А]" c="Бердичів,Фора-142 Привокзальна,1А"/>
        <s v="[Store_directory].[Назва магазину].&amp;[Звягель,Фора-159 Київська,6]" c="Звягель,Фора-159 Київська,6"/>
        <s v="[Store_directory].[Назва магазину].&amp;[Звягель,Фора-160 Герасимчука,1]" c="Звягель,Фора-160 Герасимчука,1"/>
        <s v="[Store_directory].[Назва магазину].&amp;[Овруч,Фора-385 Богуна,8В]" c="Овруч,Фора-385 Богуна,8В"/>
        <s v="[Store_directory].[Назва магазину].&amp;[Брусилів,Фора-390 Іларіона,20]" c="Брусилів,Фора-390 Іларіона,20"/>
        <s v="[Store_directory].[Назва магазину].&amp;[Попільня,Фора-395 Шайдюка,5А]" c="Попільня,Фора-395 Шайдюка,5А"/>
        <s v="[Store_directory].[Назва магазину].&amp;[Житомир,Фора-414 Лятошинського,2]" c="Житомир,Фора-414 Лятошинського,2"/>
        <s v="[Store_directory].[Назва магазину].&amp;[Житомир,Фора-468 Кибальчича,9]" c="Житомир,Фора-468 Кибальчича,9"/>
        <s v="[Store_directory].[Назва магазину].&amp;[Бердичів,Фора-473 Європейська, 5/7]" c="Бердичів,Фора-473 Європейська, 5/7"/>
        <s v="[Store_directory].[Назва магазину].&amp;[Чуднів,Фора-494 Героїв Майдану,156]" c="Чуднів,Фора-494 Героїв Майдану,156"/>
        <s v="[Store_directory].[Назва магазину].&amp;[Житомир,Фора-498 Сльоти,60а]" c="Житомир,Фора-498 Сльоти,60а"/>
        <s v="[Store_directory].[Назва магазину].&amp;[Коростень,Фора-513 Базарна площа,18В]" c="Коростень,Фора-513 Базарна площа,18В"/>
        <s v="[Store_directory].[Назва магазину].&amp;[Ружин,Фора-530 Незалежності,9/1]" c="Ружин,Фора-530 Незалежності,9/1"/>
        <s v="[Store_directory].[Назва магазину].&amp;[Станишівська,Фора-566 Комплекс будівель,38]" c="Станишівська,Фора-566 Комплекс будівель,38"/>
        <s v="[Store_directory].[Назва магазину].&amp;[Боярка,Фора-549 Гоголя,50Б]" c="Боярка,Фора-549 Гоголя,50Б"/>
        <s v="[Store_directory].[Назва магазину].&amp;[Козин,Фора-555 Партизанська,2Д]" c="Козин,Фора-555 Партизанська,2Д"/>
        <s v="[Store_directory].[Назва магазину].&amp;[Бердичів,Фора-553 Вінницька,71]" c="Бердичів,Фора-553 Вінницька,71"/>
        <s v="[Store_directory].[Назва магазину].&amp;[Житомир,Фора-585 Чуднівська,94]" c="Житомир,Фора-585 Чуднівська,94"/>
        <s v="[Store_directory].[Назва магазину].&amp;[Ніжин,Фора-096 Прощенка,12]" c="Ніжин,Фора-096 Прощенка,12"/>
        <s v="[Store_directory].[Назва магазину].&amp;[Борзна,Фора-100 Шевченка,16]" c="Борзна,Фора-100 Шевченка,16"/>
        <s v="[Store_directory].[Назва магазину].&amp;[Ніжин,Фора-127 Шевченка,20]" c="Ніжин,Фора-127 Шевченка,20"/>
        <s v="[Store_directory].[Назва магазину].&amp;[Бахмач,Фора-137 Соборності,62Б]" c="Бахмач,Фора-137 Соборності,62Б"/>
        <s v="[Store_directory].[Назва магазину].&amp;[Козелець,Фора-179 Соборності,53/1]" c="Козелець,Фора-179 Соборності,53/1"/>
        <s v="[Store_directory].[Назва магазину].&amp;[Носівка,Фора-235 Центральна,39]" c="Носівка,Фора-235 Центральна,39"/>
        <s v="[Store_directory].[Назва магазину].&amp;[Бобровиця,Фора-241 Незалежності,40А]" c="Бобровиця,Фора-241 Незалежності,40А"/>
        <s v="[Store_directory].[Назва магазину].&amp;[Городня,Фора-242 Чернігівська,26А]" c="Городня,Фора-242 Чернігівська,26А"/>
        <s v="[Store_directory].[Назва магазину].&amp;[Ніжин,Фора-295 Батюка,9]" c="Ніжин,Фора-295 Батюка,9"/>
        <s v="[Store_directory].[Назва магазину].&amp;[Прилуки,Фора-363 Переяслівська,59А]" c="Прилуки,Фора-363 Переяслівська,59А"/>
        <s v="[Store_directory].[Назва магазину].&amp;[Чернігів,Фора-538 Миру,68]" c="Чернігів,Фора-538 Миру,68"/>
        <s v="[Store_directory].[Назва магазину].&amp;[Корюківка,Фора-541 Шевченка,73А]" c="Корюківка,Фора-541 Шевченка,73А"/>
        <s v="[Store_directory].[Назва магазину].&amp;[Христинівка,Фора-253 Українська,39]" c="Христинівка,Фора-253 Українська,39"/>
        <s v="[Store_directory].[Назва магазину].&amp;[Звенигородка,Фора-481 Грушевського,140]" c="Звенигородка,Фора-481 Грушевського,140"/>
        <s v="[Store_directory].[Назва магазину].&amp;[Маньківка,Фора-470 Соборна,12]" c="Маньківка,Фора-470 Соборна,12"/>
        <s v="[Store_directory].[Назва магазину].&amp;[Корс-Шевченківськ,Фора-484 Гер Майдану,7]" c="Корс-Шевченківськ,Фора-484 Гер Майдану,7"/>
        <s v="[Store_directory].[Назва магазину].&amp;[Шпола,Фора-524 Соборна,33]" c="Шпола,Фора-524 Соборна,33"/>
        <s v="[Store_directory].[Назва магазину].&amp;[Гельмязів,Фора-534 Центральна,6]" c="Гельмязів,Фора-534 Центральна,6"/>
        <s v="[Store_directory].[Назва магазину].&amp;[Умань,Фора-575 Захисників України,21Б]" c="Умань,Фора-575 Захисників України,21Б"/>
        <s v="[Store_directory].[Назва магазину].&amp;[Золотоноша,Фора-579 Шевченка,76Б]" c="Золотоноша,Фора-579 Шевченка,76Б"/>
        <s v="[Store_directory].[Назва магазину].&amp;[Гайсин,Фора-201 1-го Травня,70А]" c="Гайсин,Фора-201 1-го Травня,70А"/>
        <s v="[Store_directory].[Назва магазину].&amp;[Ладижин,Фора-213 Будівельників,15А]" c="Ладижин,Фора-213 Будівельників,15А"/>
        <s v="[Store_directory].[Назва магазину].&amp;[Козятин,Фора-365 Грушевського,46]" c="Козятин,Фора-365 Грушевського,46"/>
        <s v="[Store_directory].[Назва магазину].&amp;[Погребище,Фора-535 Хмельницького,107]" c="Погребище,Фора-535 Хмельницького,107"/>
        <s v="[Store_directory].[Назва магазину].&amp;[Вінниця,Фора-475 Чорновола,29Б]" c="Вінниця,Фора-475 Чорновола,29Б"/>
        <s v="[Store_directory].[Назва магазину].&amp;[Вінниця,Фора-478 600-річчя,17]" c="Вінниця,Фора-478 600-річчя,17"/>
        <s v="[Store_directory].[Назва магазину].&amp;[Вінниця,Фора-479 Коцюбинського,2А]" c="Вінниця,Фора-479 Коцюбинського,2А"/>
        <s v="[Store_directory].[Назва магазину].&amp;[Хмільник,Фора-482 Свободи,21Б]" c="Хмільник,Фора-482 Свободи,21Б"/>
        <s v="[Store_directory].[Назва магазину].&amp;[Тульчин,Фора-488 Леонтовича,50]" c="Тульчин,Фора-488 Леонтовича,50"/>
        <s v="[Store_directory].[Назва магазину].&amp;[Літин,Фора-492 Соборна,22]" c="Літин,Фора-492 Соборна,22"/>
        <s v="[Store_directory].[Назва магазину].&amp;[Летичів,Фора-493 Шевченка,1А]" c="Летичів,Фора-493 Шевченка,1А"/>
        <s v="[Store_directory].[Назва магазину].&amp;[Іллінці,Фора-542 Європейська,22]" c="Іллінці,Фора-542 Європейська,22"/>
        <s v="[Store_directory].[Назва магазину].&amp;[Гнівань,Фора-518 Соборна,45]" c="Гнівань,Фора-518 Соборна,45"/>
        <s v="[Store_directory].[Назва магазину].&amp;[Теплик,Фора-503 Незалежності,28]" c="Теплик,Фора-503 Незалежності,28"/>
        <s v="[Store_directory].[Назва магазину].&amp;[Рівне,Фора-474 Київська,10]" c="Рівне,Фора-474 Київська,10"/>
        <s v="[Store_directory].[Назва магазину].&amp;[Рівне,Фора-500 Сагайдачного,4А]" c="Рівне,Фора-500 Сагайдачного,4А"/>
        <s v="[Store_directory].[Назва магазину].&amp;[Рівне,Фора-563 Соборна,289А]" c="Рівне,Фора-563 Соборна,289А"/>
        <s v="[Store_directory].[Назва магазину].&amp;[Рівне,Фора-583 Княгині Ольги,1(Сам)]" c="Рівне,Фора-583 Княгині Ольги,1(Сам)"/>
        <s v="[Store_directory].[Назва магазину].&amp;[Рівне,Фора-584 Теліги,21А(Сам)]" c="Рівне,Фора-584 Теліги,21А(Сам)"/>
        <s v="[Store_directory].[Назва магазину].&amp;[Сарни,Фора-581 Польська,1(Сам)]" c="Сарни,Фора-581 Польська,1(Сам)"/>
        <s v="[Store_directory].[Назва магазину].&amp;[Сарни,Фора-582 Європейська,31(Сам)]" c="Сарни,Фора-582 Європейська,31(Сам)"/>
        <s v="[Store_directory].[Назва магазину].&amp;[Рокитне,Фора-587 Шевченка,9(Сам)]" c="Рокитне,Фора-587 Шевченка,9(Сам)"/>
        <s v="[Store_directory].[Назва магазину].&amp;[Дубровиця,Фора-589 Шевченка,55(Сам)]" c="Дубровиця,Фора-589 Шевченка,55(Сам)"/>
        <s v="[Store_directory].[Назва магазину].&amp;[Зарічне,Фора-590 Фестивальн,18А(Сам)]" c="Зарічне,Фора-590 Фестивальн,18А(Сам)"/>
        <s v="[Store_directory].[Назва магазину].&amp;[Кам'янка-Бузька,Фора-502 Тютюнника,7Б]" c="Кам'янка-Бузька,Фора-502 Тютюнника,7Б"/>
        <s v="[Store_directory].[Назва магазину].&amp;[Миколаїв,Фора-511 Чайковського,18]" c="Миколаїв,Фора-511 Чайковського,18"/>
        <s v="[Store_directory].[Назва магазину].&amp;[Бережани,Фора-509 Тернопільська,9]" c="Бережани,Фора-509 Тернопільська,9"/>
        <s v="[Store_directory].[Назва магазину].&amp;[Старокостянтинів,Фора-239 Миру,19/2]" c="Старокостянтинів,Фора-239 Миру,19/2"/>
        <s v="[Store_directory].[Назва магазину].&amp;[Полонне,Фора-528 Лесі Українки,174Б]" c="Полонне,Фора-528 Лесі Українки,174Б"/>
        <s v="[Store_directory].[Назва магазину].&amp;[Могилів-Подільський,Фора-508 Стависьк,43]" c="Могилів-Подільський,Фора-508 Стависьк,43"/>
        <s v="[Store_directory].[Назва магазину].&amp;[Дунаївці,Фора-551 Шевченка,57]" c="Дунаївці,Фора-551 Шевченка,57"/>
        <s v="[Store_directory].[Назва магазину].&amp;[Гребінка,Фора-486 Магістральна,49]" c="Гребінка,Фора-486 Магістральна,49"/>
        <s v="[Store_directory].[Назва магазину].&amp;[Пирятин,Фора-487 Майдан Незалежності,2В]" c="Пирятин,Фора-487 Майдан Незалежності,2В"/>
        <s v="[Store_directory].[Назва магазину].&amp;[Ромни,Фора-406 Коржівська,100]" c="Ромни,Фора-406 Коржівська,100"/>
        <s v="[Store_directory].[Назва магазину].&amp;[Київ,Фора-431 Лісовий,15]" c="Київ,Фора-431 Лісовий,15"/>
        <s v="[Store_directory].[Назва магазину].&amp;[Бровари,Фора-432 Чубинського,3]" c="Бровари,Фора-432 Чубинського,3"/>
        <s v="[Store_directory].[Назва магазину].&amp;[Київ,Фора-433 Колоса,1Б]" c="Київ,Фора-433 Колоса,1Б"/>
        <s v="[Store_directory].[Назва магазину].&amp;[Чубинське,Фора-434Яблунева,6А]" c="Чубинське,Фора-434Яблунева,6А"/>
        <s v="[Store_directory].[Назва магазину].&amp;[Київ,Фора-435 Деміївська,13]" c="Київ,Фора-435 Деміївська,13"/>
        <s v="[Store_directory].[Назва магазину].&amp;[Київ,Фора-437 Сверстюка,6А]" c="Київ,Фора-437 Сверстюка,6А"/>
        <s v="[Store_directory].[Назва магазину].&amp;[Київ,Фора-440 Максимовича,3Д]" c="Київ,Фора-440 Максимовича,3Д"/>
        <s v="[Store_directory].[Назва магазину].&amp;[Бровари,Фора-442 Чорновола,6]" c="Бровари,Фора-442 Чорновола,6"/>
        <s v="[Store_directory].[Назва магазину].&amp;[Київ,Фора-443 Мстиславича,28А]" c="Київ,Фора-443 Мстиславича,28А"/>
        <s v="[Store_directory].[Назва магазину].&amp;[Київ,Фора-445 Каховська,62А]" c="Київ,Фора-445 Каховська,62А"/>
        <s v="[Store_directory].[Назва магазину].&amp;[Київ,Фора-449 Голосіївська,18]" c="Київ,Фора-449 Голосіївська,18"/>
        <s v="[Store_directory].[Назва магазину].&amp;[Київ,Фора-450 Жуля Верна,13]" c="Київ,Фора-450 Жуля Верна,13"/>
        <s v="[Store_directory].[Назва магазину].&amp;[Київ,Фора-451 Русанівський,12]" c="Київ,Фора-451 Русанівський,12"/>
        <s v="[Store_directory].[Назва магазину].&amp;[Київ,Фора-452 Максимовича,26Б]" c="Київ,Фора-452 Максимовича,26Б"/>
        <s v="[Store_directory].[Назва магазину].&amp;[Київ,Фора-454 Світличного,4]" c="Київ,Фора-454 Світличного,4"/>
        <s v="[Store_directory].[Назва магазину].&amp;[Бровари,Фора-458 Соборна,20]" c="Бровари,Фора-458 Соборна,20"/>
        <s v="[Store_directory].[Назва магазину].&amp;[Бровари,Фора-504 Симоненка,2А]" c="Бровари,Фора-504 Симоненка,2А"/>
        <s v="[Store_directory].[Назва магазину].&amp;[Київ,Фора-505 ФП Столичне шосе,1 П-9]" c="Київ,Фора-505 ФП Столичне шосе,1 П-9"/>
        <s v="[Store_directory].[Назва магазину].&amp;[Київ,Фора-510 Олеся,8/17]" c="Київ,Фора-510 Олеся,8/17"/>
        <s v="[Store_directory].[Назва магазину].&amp;[СофБорщагівка,Фора-512 Амосова,67/128]" c="СофБорщагівка,Фора-512 Амосова,67/128"/>
        <s v="[Store_directory].[Назва магазину].&amp;[Київ,Фора-556 Княжий Затон,2/30]" c="Київ,Фора-556 Княжий Затон,2/30"/>
        <s v="[Store_directory].[Назва магазину].&amp;[Київ,Фора-557 Ново-Дарницька,27]" c="Київ,Фора-557 Ново-Дарницька,27"/>
        <s v="[Store_directory].[Назва магазину].&amp;[Київ,Фора-559 Заболотного,1А]" c="Київ,Фора-559 Заболотного,1А"/>
        <s v="[Store_directory].[Назва магазину].&amp;[Київ,Фора-562 ФП Повітряних Сил,56Б]" c="Київ,Фора-562 ФП Повітряних Сил,56Б"/>
        <s v="[Store_directory].[Назва магазину].&amp;[Київ,Фора-573 Трускавецька,8]" c="Київ,Фора-573 Трускавецька,8"/>
        <s v="[Store_directory].[Назва магазину].&amp;[СофБорщагівка,Фора-578 Чубинського,8А]" c="СофБорщагівка,Фора-578 Чубинського,8А"/>
        <s v="[Store_directory].[Назва магазину].&amp;[Київ,Фора-593 Крістерів,16]" c="Київ,Фора-593 Крістерів,16"/>
        <s v="[Store_directory].[Назва магазину].&amp;[ФудПод(Project)-12_Киев, Голосеевский]" c="ФудПод(Project)-12_Киев, Голосеевский"/>
        <s v="[Store_directory].[Назва магазину].&amp;[Гатне,Фора-546 Приозерний,6]" c="Гатне,Фора-546 Приозерний,6"/>
        <s v="[Store_directory].[Назва магазину].&amp;[Київ,Фора-554 Балтійський,3А]" c="Київ,Фора-554 Балтійський,3А"/>
      </sharedItems>
    </cacheField>
    <cacheField name="[Store_directory].[Дата відкриття].[Дата відкриття]" caption="Дата відкриття" numFmtId="0" hierarchy="38" level="1">
      <sharedItems count="365">
        <s v="[Store_directory].[Дата відкриття].&amp;[2002-12-26T00:00:00]" c="26.12.2002"/>
        <s v="[Store_directory].[Дата відкриття].&amp;[2002-12-29T00:00:00]" c="29.12.2002"/>
        <s v="[Store_directory].[Дата відкриття].&amp;[2003-06-21T00:00:00]" c="21.06.2003"/>
        <s v="[Store_directory].[Дата відкриття].&amp;[2004-04-30T00:00:00]" c="30.04.2004"/>
        <s v="[Store_directory].[Дата відкриття].&amp;[2004-07-29T00:00:00]" c="29.07.2004"/>
        <s v="[Store_directory].[Дата відкриття].&amp;[2004-08-04T00:00:00]" c="04.08.2004"/>
        <s v="[Store_directory].[Дата відкриття].&amp;[2004-08-21T00:00:00]" c="21.08.2004"/>
        <s v="[Store_directory].[Дата відкриття].&amp;[2004-08-28T00:00:00]" c="28.08.2004"/>
        <s v="[Store_directory].[Дата відкриття].&amp;[2004-10-29T00:00:00]" c="29.10.2004"/>
        <s v="[Store_directory].[Дата відкриття].&amp;[2004-12-11T00:00:00]" c="11.12.2004"/>
        <s v="[Store_directory].[Дата відкриття].&amp;[2004-12-19T00:00:00]" c="19.12.2004"/>
        <s v="[Store_directory].[Дата відкриття].&amp;[2004-12-18T00:00:00]" c="18.12.2004"/>
        <s v="[Store_directory].[Дата відкриття].&amp;[2005-02-21T00:00:00]" c="21.02.2005"/>
        <s v="[Store_directory].[Дата відкриття].&amp;[2005-02-14T00:00:00]" c="14.02.2005"/>
        <s v="[Store_directory].[Дата відкриття].&amp;[2005-06-02T00:00:00]" c="02.06.2005"/>
        <s v="[Store_directory].[Дата відкриття].&amp;[2005-06-16T00:00:00]" c="16.06.2005"/>
        <s v="[Store_directory].[Дата відкриття].&amp;[2005-06-26T00:00:00]" c="26.06.2005"/>
        <s v="[Store_directory].[Дата відкриття].&amp;[2005-08-12T00:00:00]" c="12.08.2005"/>
        <s v="[Store_directory].[Дата відкриття].&amp;[2005-08-15T00:00:00]" c="15.08.2005"/>
        <s v="[Store_directory].[Дата відкриття].&amp;[2005-10-21T00:00:00]" c="21.10.2005"/>
        <s v="[Store_directory].[Дата відкриття].&amp;[2005-11-25T00:00:00]" c="25.11.2005"/>
        <s v="[Store_directory].[Дата відкриття].&amp;[2021-07-15T00:00:00]" c="15.07.2021"/>
        <s v="[Store_directory].[Дата відкриття].&amp;[2006-04-29T00:00:00]" c="29.04.2006"/>
        <s v="[Store_directory].[Дата відкриття].&amp;[2006-07-21T00:00:00]" c="21.07.2006"/>
        <s v="[Store_directory].[Дата відкриття].&amp;[2006-07-28T00:00:00]" c="28.07.2006"/>
        <s v="[Store_directory].[Дата відкриття].&amp;[2006-09-27T00:00:00]" c="27.09.2006"/>
        <s v="[Store_directory].[Дата відкриття].&amp;[2007-01-05T00:00:00]" c="05.01.2007"/>
        <s v="[Store_directory].[Дата відкриття].&amp;[2006-12-30T00:00:00]" c="30.12.2006"/>
        <s v="[Store_directory].[Дата відкриття].&amp;[2006-12-16T00:00:00]" c="16.12.2006"/>
        <s v="[Store_directory].[Дата відкриття].&amp;[2007-09-13T00:00:00]" c="13.09.2007"/>
        <s v="[Store_directory].[Дата відкриття].&amp;[2007-03-17T00:00:00]" c="17.03.2007"/>
        <s v="[Store_directory].[Дата відкриття].&amp;[2007-06-07T00:00:00]" c="07.06.2007"/>
        <s v="[Store_directory].[Дата відкриття].&amp;[2007-12-29T00:00:00]" c="29.12.2007"/>
        <s v="[Store_directory].[Дата відкриття].&amp;[2007-06-15T00:00:00]" c="15.06.2007"/>
        <s v="[Store_directory].[Дата відкриття].&amp;[2007-12-08T00:00:00]" c="08.12.2007"/>
        <s v="[Store_directory].[Дата відкриття].&amp;[2007-11-03T00:00:00]" c="03.11.2007"/>
        <s v="[Store_directory].[Дата відкриття].&amp;[2008-03-26T00:00:00]" c="26.03.2008"/>
        <s v="[Store_directory].[Дата відкриття].&amp;[2008-11-04T00:00:00]" c="04.11.2008"/>
        <s v="[Store_directory].[Дата відкриття].&amp;[2007-12-22T00:00:00]" c="22.12.2007"/>
        <s v="[Store_directory].[Дата відкриття].&amp;[2023-11-09T00:00:00]" c="09.11.2023"/>
        <s v="[Store_directory].[Дата відкриття].&amp;[2023-05-18T00:00:00]" c="18.05.2023"/>
        <s v="[Store_directory].[Дата відкриття].&amp;[2024-12-30T00:00:00]" c="30.12.2024"/>
        <s v="[Store_directory].[Дата відкриття].&amp;[2022-07-05T00:00:00]" c="05.07.2022"/>
        <s v="[Store_directory].[Дата відкриття].&amp;[2008-06-13T00:00:00]" c="13.06.2008"/>
        <s v="[Store_directory].[Дата відкриття].&amp;[2008-04-19T00:00:00]" c="19.04.2008"/>
        <s v="[Store_directory].[Дата відкриття].&amp;[2008-04-20T00:00:00]" c="20.04.2008"/>
        <s v="[Store_directory].[Дата відкриття].&amp;[2008-10-15T00:00:00]" c="15.10.2008"/>
        <s v="[Store_directory].[Дата відкриття].&amp;[2008-09-23T00:00:00]" c="23.09.2008"/>
        <s v="[Store_directory].[Дата відкриття].&amp;[2008-08-28T00:00:00]" c="28.08.2008"/>
        <s v="[Store_directory].[Дата відкриття].&amp;[2008-07-31T00:00:00]" c="31.07.2008"/>
        <s v="[Store_directory].[Дата відкриття].&amp;[2015-03-26T00:00:00]" c="26.03.2015"/>
        <s v="[Store_directory].[Дата відкриття].&amp;[2008-05-22T00:00:00]" c="22.05.2008"/>
        <s v="[Store_directory].[Дата відкриття].&amp;[2007-10-16T00:00:00]" c="16.10.2007"/>
        <s v="[Store_directory].[Дата відкриття].&amp;[2008-10-03T00:00:00]" c="03.10.2008"/>
        <s v="[Store_directory].[Дата відкриття].&amp;[2008-12-10T00:00:00]" c="10.12.2008"/>
        <s v="[Store_directory].[Дата відкриття].&amp;[2008-12-16T00:00:00]" c="16.12.2008"/>
        <s v="[Store_directory].[Дата відкриття].&amp;[2008-12-26T00:00:00]" c="26.12.2008"/>
        <s v="[Store_directory].[Дата відкриття].&amp;[2009-09-17T00:00:00]" c="17.09.2009"/>
        <s v="[Store_directory].[Дата відкриття].&amp;[2010-02-12T00:00:00]" c="12.02.2010"/>
        <s v="[Store_directory].[Дата відкриття].&amp;[2010-02-04T00:00:00]" c="04.02.2010"/>
        <s v="[Store_directory].[Дата відкриття].&amp;[2010-08-01T00:00:00]" c="01.08.2010"/>
        <s v="[Store_directory].[Дата відкриття].&amp;[2011-06-06T00:00:00]" c="06.06.2011"/>
        <s v="[Store_directory].[Дата відкриття].&amp;[2011-04-14T00:00:00]" c="14.04.2011"/>
        <s v="[Store_directory].[Дата відкриття].&amp;[2011-03-11T00:00:00]" c="11.03.2011"/>
        <s v="[Store_directory].[Дата відкриття].&amp;[2011-08-25T00:00:00]" c="25.08.2011"/>
        <s v="[Store_directory].[Дата відкриття].&amp;[2011-09-20T00:00:00]" c="20.09.2011"/>
        <s v="[Store_directory].[Дата відкриття].&amp;[2011-12-22T00:00:00]" c="22.12.2011"/>
        <s v="[Store_directory].[Дата відкриття].&amp;[2011-12-23T00:00:00]" c="23.12.2011"/>
        <s v="[Store_directory].[Дата відкриття].&amp;[2012-04-24T00:00:00]" c="24.04.2012"/>
        <s v="[Store_directory].[Дата відкриття].&amp;[2012-05-10T00:00:00]" c="10.05.2012"/>
        <s v="[Store_directory].[Дата відкриття].&amp;[2012-05-25T00:00:00]" c="25.05.2012"/>
        <s v="[Store_directory].[Дата відкриття].&amp;[2012-11-16T00:00:00]" c="16.11.2012"/>
        <s v="[Store_directory].[Дата відкриття].&amp;[2012-10-09T00:00:00]" c="09.10.2012"/>
        <s v="[Store_directory].[Дата відкриття].&amp;[2012-10-10T00:00:00]" c="10.10.2012"/>
        <s v="[Store_directory].[Дата відкриття].&amp;[2012-07-10T00:00:00]" c="10.07.2012"/>
        <s v="[Store_directory].[Дата відкриття].&amp;[2012-08-02T00:00:00]" c="02.08.2012"/>
        <s v="[Store_directory].[Дата відкриття].&amp;[2012-09-27T00:00:00]" c="27.09.2012"/>
        <s v="[Store_directory].[Дата відкриття].&amp;[2012-11-22T00:00:00]" c="22.11.2012"/>
        <s v="[Store_directory].[Дата відкриття].&amp;[2012-11-08T00:00:00]" c="08.11.2012"/>
        <s v="[Store_directory].[Дата відкриття].&amp;[2012-11-29T00:00:00]" c="29.11.2012"/>
        <s v="[Store_directory].[Дата відкриття].&amp;[2012-12-20T00:00:00]" c="20.12.2012"/>
        <s v="[Store_directory].[Дата відкриття].&amp;[2012-11-23T00:00:00]" c="23.11.2012"/>
        <s v="[Store_directory].[Дата відкриття].&amp;[2012-12-07T00:00:00]" c="07.12.2012"/>
        <s v="[Store_directory].[Дата відкриття].&amp;[2013-02-21T00:00:00]" c="21.02.2013"/>
        <s v="[Store_directory].[Дата відкриття].&amp;[2013-03-22T00:00:00]" c="22.03.2013"/>
        <s v="[Store_directory].[Дата відкриття].&amp;[2013-04-11T00:00:00]" c="11.04.2013"/>
        <s v="[Store_directory].[Дата відкриття].&amp;[2013-04-26T00:00:00]" c="26.04.2013"/>
        <s v="[Store_directory].[Дата відкриття].&amp;[2013-08-08T00:00:00]" c="08.08.2013"/>
        <s v="[Store_directory].[Дата відкриття].&amp;[2013-04-27T00:00:00]" c="27.04.2013"/>
        <s v="[Store_directory].[Дата відкриття].&amp;[2013-06-14T00:00:00]" c="14.06.2013"/>
        <s v="[Store_directory].[Дата відкриття].&amp;[2013-11-29T00:00:00]" c="29.11.2013"/>
        <s v="[Store_directory].[Дата відкриття].&amp;[2013-11-15T00:00:00]" c="15.11.2013"/>
        <s v="[Store_directory].[Дата відкриття].&amp;[2013-07-02T00:00:00]" c="02.07.2013"/>
        <s v="[Store_directory].[Дата відкриття].&amp;[2013-06-27T00:00:00]" c="27.06.2013"/>
        <s v="[Store_directory].[Дата відкриття].&amp;[2013-08-02T00:00:00]" c="02.08.2013"/>
        <s v="[Store_directory].[Дата відкриття].&amp;[2013-07-11T00:00:00]" c="11.07.2013"/>
        <s v="[Store_directory].[Дата відкриття].&amp;[2013-08-29T00:00:00]" c="29.08.2013"/>
        <s v="[Store_directory].[Дата відкриття].&amp;[2014-03-14T00:00:00]" c="14.03.2014"/>
        <s v="[Store_directory].[Дата відкриття].&amp;[2013-10-18T00:00:00]" c="18.10.2013"/>
        <s v="[Store_directory].[Дата відкриття].&amp;[2013-11-27T00:00:00]" c="27.11.2013"/>
        <s v="[Store_directory].[Дата відкриття].&amp;[2013-11-20T00:00:00]" c="20.11.2013"/>
        <s v="[Store_directory].[Дата відкриття].&amp;[2014-01-31T00:00:00]" c="31.01.2014"/>
        <s v="[Store_directory].[Дата відкриття].&amp;[2014-10-23T00:00:00]" c="23.10.2014"/>
        <s v="[Store_directory].[Дата відкриття].&amp;[2014-03-28T00:00:00]" c="28.03.2014"/>
        <s v="[Store_directory].[Дата відкриття].&amp;[2014-04-18T00:00:00]" c="18.04.2014"/>
        <s v="[Store_directory].[Дата відкриття].&amp;[2014-05-22T00:00:00]" c="22.05.2014"/>
        <s v="[Store_directory].[Дата відкриття].&amp;[2014-06-05T00:00:00]" c="05.06.2014"/>
        <s v="[Store_directory].[Дата відкриття].&amp;[2014-06-20T00:00:00]" c="20.06.2014"/>
        <s v="[Store_directory].[Дата відкриття].&amp;[2014-08-15T00:00:00]" c="15.08.2014"/>
        <s v="[Store_directory].[Дата відкриття].&amp;[2014-09-12T00:00:00]" c="12.09.2014"/>
        <s v="[Store_directory].[Дата відкриття].&amp;[2014-10-09T00:00:00]" c="09.10.2014"/>
        <s v="[Store_directory].[Дата відкриття].&amp;[2014-08-28T00:00:00]" c="28.08.2014"/>
        <s v="[Store_directory].[Дата відкриття].&amp;[2016-04-29T00:00:00]" c="29.04.2016"/>
        <s v="[Store_directory].[Дата відкриття].&amp;[2014-09-05T00:00:00]" c="05.09.2014"/>
        <s v="[Store_directory].[Дата відкриття].&amp;[2014-10-24T00:00:00]" c="24.10.2014"/>
        <s v="[Store_directory].[Дата відкриття].&amp;[2015-01-05T00:00:00]" c="05.01.2015"/>
        <s v="[Store_directory].[Дата відкриття].&amp;[2014-11-27T00:00:00]" c="27.11.2014"/>
        <s v="[Store_directory].[Дата відкриття].&amp;[2014-12-11T00:00:00]" c="11.12.2014"/>
        <s v="[Store_directory].[Дата відкриття].&amp;[2014-12-05T00:00:00]" c="05.12.2014"/>
        <s v="[Store_directory].[Дата відкриття].&amp;[2014-12-25T00:00:00]" c="25.12.2014"/>
        <s v="[Store_directory].[Дата відкриття].&amp;[2015-01-06T00:00:00]" c="06.01.2015"/>
        <s v="[Store_directory].[Дата відкриття].&amp;[2015-04-03T00:00:00]" c="03.04.2015"/>
        <s v="[Store_directory].[Дата відкриття].&amp;[2015-04-22T00:00:00]" c="22.04.2015"/>
        <s v="[Store_directory].[Дата відкриття].&amp;[2015-03-11T00:00:00]" c="11.03.2015"/>
        <s v="[Store_directory].[Дата відкриття].&amp;[2015-04-05T00:00:00]" c="05.04.2015"/>
        <s v="[Store_directory].[Дата відкриття].&amp;[2016-02-16T00:00:00]" c="16.02.2016"/>
        <s v="[Store_directory].[Дата відкриття].&amp;[2015-04-29T00:00:00]" c="29.04.2015"/>
        <s v="[Store_directory].[Дата відкриття].&amp;[2015-06-02T00:00:00]" c="02.06.2015"/>
        <s v="[Store_directory].[Дата відкриття].&amp;[2015-05-21T00:00:00]" c="21.05.2015"/>
        <s v="[Store_directory].[Дата відкриття].&amp;[2015-06-17T00:00:00]" c="17.06.2015"/>
        <s v="[Store_directory].[Дата відкриття].&amp;[2015-07-22T00:00:00]" c="22.07.2015"/>
        <s v="[Store_directory].[Дата відкриття].&amp;[2015-08-12T00:00:00]" c="12.08.2015"/>
        <s v="[Store_directory].[Дата відкриття].&amp;[2015-12-03T00:00:00]" c="03.12.2015"/>
        <s v="[Store_directory].[Дата відкриття].&amp;[2015-12-15T00:00:00]" c="15.12.2015"/>
        <s v="[Store_directory].[Дата відкриття].&amp;[2015-11-25T00:00:00]" c="25.11.2015"/>
        <s v="[Store_directory].[Дата відкриття].&amp;[2016-08-09T00:00:00]" c="09.08.2016"/>
        <s v="[Store_directory].[Дата відкриття].&amp;[2015-10-28T00:00:00]" c="28.10.2015"/>
        <s v="[Store_directory].[Дата відкриття].&amp;[2015-12-18T00:00:00]" c="18.12.2015"/>
        <s v="[Store_directory].[Дата відкриття].&amp;[2015-12-24T00:00:00]" c="24.12.2015"/>
        <s v="[Store_directory].[Дата відкриття].&amp;[2016-02-17T00:00:00]" c="17.02.2016"/>
        <s v="[Store_directory].[Дата відкриття].&amp;[2016-02-25T00:00:00]" c="25.02.2016"/>
        <s v="[Store_directory].[Дата відкриття].&amp;[2016-02-23T00:00:00]" c="23.02.2016"/>
        <s v="[Store_directory].[Дата відкриття].&amp;[2016-04-13T00:00:00]" c="13.04.2016"/>
        <s v="[Store_directory].[Дата відкриття].&amp;[2016-06-22T00:00:00]" c="22.06.2016"/>
        <s v="[Store_directory].[Дата відкриття].&amp;[2016-06-02T00:00:00]" c="02.06.2016"/>
        <s v="[Store_directory].[Дата відкриття].&amp;[2016-05-19T00:00:00]" c="19.05.2016"/>
        <s v="[Store_directory].[Дата відкриття].&amp;[2016-06-21T00:00:00]" c="21.06.2016"/>
        <s v="[Store_directory].[Дата відкриття].&amp;[2016-09-24T00:00:00]" c="24.09.2016"/>
        <s v="[Store_directory].[Дата відкриття].&amp;[2016-08-11T00:00:00]" c="11.08.2016"/>
        <s v="[Store_directory].[Дата відкриття].&amp;[2016-09-28T00:00:00]" c="28.09.2016"/>
        <s v="[Store_directory].[Дата відкриття].&amp;[2016-11-03T00:00:00]" c="03.11.2016"/>
        <s v="[Store_directory].[Дата відкриття].&amp;[2016-12-01T00:00:00]" c="01.12.2016"/>
        <s v="[Store_directory].[Дата відкриття].&amp;[2017-05-11T00:00:00]" c="11.05.2017"/>
        <s v="[Store_directory].[Дата відкриття].&amp;[2017-03-06T00:00:00]" c="06.03.2017"/>
        <s v="[Store_directory].[Дата відкриття].&amp;[2016-12-22T00:00:00]" c="22.12.2016"/>
        <s v="[Store_directory].[Дата відкриття].&amp;[2017-05-10T00:00:00]" c="10.05.2017"/>
        <s v="[Store_directory].[Дата відкриття].&amp;[2017-04-19T00:00:00]" c="19.04.2017"/>
        <s v="[Store_directory].[Дата відкриття].&amp;[2017-12-18T00:00:00]" c="18.12.2017"/>
        <s v="[Store_directory].[Дата відкриття].&amp;[2017-04-26T00:00:00]" c="26.04.2017"/>
        <s v="[Store_directory].[Дата відкриття].&amp;[2017-08-06T00:00:00]" c="06.08.2017"/>
        <s v="[Store_directory].[Дата відкриття].&amp;[2017-06-21T00:00:00]" c="21.06.2017"/>
        <s v="[Store_directory].[Дата відкриття].&amp;[2017-08-11T00:00:00]" c="11.08.2017"/>
        <s v="[Store_directory].[Дата відкриття].&amp;[2018-08-21T00:00:00]" c="21.08.2018"/>
        <s v="[Store_directory].[Дата відкриття].&amp;[2017-09-26T00:00:00]" c="26.09.2017"/>
        <s v="[Store_directory].[Дата відкриття].&amp;[2017-10-14T00:00:00]" c="14.10.2017"/>
        <s v="[Store_directory].[Дата відкриття].&amp;[2017-11-03T00:00:00]" c="03.11.2017"/>
        <s v="[Store_directory].[Дата відкриття].&amp;[2017-11-22T00:00:00]" c="22.11.2017"/>
        <s v="[Store_directory].[Дата відкриття].&amp;[2018-04-18T00:00:00]" c="18.04.2018"/>
        <s v="[Store_directory].[Дата відкриття].&amp;[2018-06-13T00:00:00]" c="13.06.2018"/>
        <s v="[Store_directory].[Дата відкриття].&amp;[2018-04-17T00:00:00]" c="17.04.2018"/>
        <s v="[Store_directory].[Дата відкриття].&amp;[2018-03-30T00:00:00]" c="30.03.2018"/>
        <s v="[Store_directory].[Дата відкриття].&amp;[2018-10-04T00:00:00]" c="04.10.2018"/>
        <s v="[Store_directory].[Дата відкриття].&amp;[2017-12-22T00:00:00]" c="22.12.2017"/>
        <s v="[Store_directory].[Дата відкриття].&amp;[2017-12-25T00:00:00]" c="25.12.2017"/>
        <s v="[Store_directory].[Дата відкриття].&amp;[2018-04-03T00:00:00]" c="03.04.2018"/>
        <s v="[Store_directory].[Дата відкриття].&amp;[2018-07-05T00:00:00]" c="05.07.2018"/>
        <s v="[Store_directory].[Дата відкриття].&amp;[2018-11-08T00:00:00]" c="08.11.2018"/>
        <s v="[Store_directory].[Дата відкриття].&amp;[2018-11-30T00:00:00]" c="30.11.2018"/>
        <s v="[Store_directory].[Дата відкриття].&amp;[2018-12-20T00:00:00]" c="20.12.2018"/>
        <s v="[Store_directory].[Дата відкриття].&amp;[2018-12-06T00:00:00]" c="06.12.2018"/>
        <s v="[Store_directory].[Дата відкриття].&amp;[2019-10-22T00:00:00]" c="22.10.2019"/>
        <s v="[Store_directory].[Дата відкриття].&amp;[2019-07-03T00:00:00]" c="03.07.2019"/>
        <s v="[Store_directory].[Дата відкриття].&amp;[2019-08-08T00:00:00]" c="08.08.2019"/>
        <s v="[Store_directory].[Дата відкриття].&amp;[2019-08-01T00:00:00]" c="01.08.2019"/>
        <s v="[Store_directory].[Дата відкриття].&amp;[2019-08-20T00:00:00]" c="20.08.2019"/>
        <s v="[Store_directory].[Дата відкриття].&amp;[2019-09-02T00:00:00]" c="02.09.2019"/>
        <s v="[Store_directory].[Дата відкриття].&amp;[2019-02-04T00:00:00]" c="04.02.2019"/>
        <s v="[Store_directory].[Дата відкриття].&amp;[2019-04-01T00:00:00]" c="01.04.2019"/>
        <s v="[Store_directory].[Дата відкриття].&amp;[2019-06-25T00:00:00]" c="25.06.2019"/>
        <s v="[Store_directory].[Дата відкриття].&amp;[2019-06-07T00:00:00]" c="07.06.2019"/>
        <s v="[Store_directory].[Дата відкриття].&amp;[2019-07-31T00:00:00]" c="31.07.2019"/>
        <s v="[Store_directory].[Дата відкриття].&amp;[2020-04-29T00:00:00]" c="29.04.2020"/>
        <s v="[Store_directory].[Дата відкриття].&amp;[2019-10-16T00:00:00]" c="16.10.2019"/>
        <s v="[Store_directory].[Дата відкриття].&amp;[2019-12-18T00:00:00]" c="18.12.2019"/>
        <s v="[Store_directory].[Дата відкриття].&amp;[2019-11-06T00:00:00]" c="06.11.2019"/>
        <s v="[Store_directory].[Дата відкриття].&amp;[2020-03-26T00:00:00]" c="26.03.2020"/>
        <s v="[Store_directory].[Дата відкриття].&amp;[2020-02-06T00:00:00]" c="06.02.2020"/>
        <s v="[Store_directory].[Дата відкриття].&amp;[2020-08-19T00:00:00]" c="19.08.2020"/>
        <s v="[Store_directory].[Дата відкриття].&amp;[2019-11-07T00:00:00]" c="07.11.2019"/>
        <s v="[Store_directory].[Дата відкриття].&amp;[2019-12-12T00:00:00]" c="12.12.2019"/>
        <s v="[Store_directory].[Дата відкриття].&amp;[2020-04-13T00:00:00]" c="13.04.2020"/>
        <s v="[Store_directory].[Дата відкриття].&amp;[2019-12-28T00:00:00]" c="28.12.2019"/>
        <s v="[Store_directory].[Дата відкриття].&amp;[2020-09-25T00:00:00]" c="25.09.2020"/>
        <s v="[Store_directory].[Дата відкриття].&amp;[2020-08-20T00:00:00]" c="20.08.2020"/>
        <s v="[Store_directory].[Дата відкриття].&amp;[2020-05-13T00:00:00]" c="13.05.2020"/>
        <s v="[Store_directory].[Дата відкриття].&amp;[2020-07-29T00:00:00]" c="29.07.2020"/>
        <s v="[Store_directory].[Дата відкриття].&amp;[2020-06-03T00:00:00]" c="03.06.2020"/>
        <s v="[Store_directory].[Дата відкриття].&amp;[2021-05-28T00:00:00]" c="28.05.2021"/>
        <s v="[Store_directory].[Дата відкриття].&amp;[2020-12-28T00:00:00]" c="28.12.2020"/>
        <s v="[Store_directory].[Дата відкриття].&amp;[2020-12-24T00:00:00]" c="24.12.2020"/>
        <s v="[Store_directory].[Дата відкриття].&amp;[2020-10-09T00:00:00]" c="09.10.2020"/>
        <s v="[Store_directory].[Дата відкриття].&amp;[2020-12-09T00:00:00]" c="09.12.2020"/>
        <s v="[Store_directory].[Дата відкриття].&amp;[2020-12-22T00:00:00]" c="22.12.2020"/>
        <s v="[Store_directory].[Дата відкриття].&amp;[2022-10-24T00:00:00]" c="24.10.2022"/>
        <s v="[Store_directory].[Дата відкриття].&amp;[2020-08-30T00:00:00]" c="30.08.2020"/>
        <s v="[Store_directory].[Дата відкриття].&amp;[2021-02-19T00:00:00]" c="19.02.2021"/>
        <s v="[Store_directory].[Дата відкриття].&amp;[2023-07-24T00:00:00]" c="24.07.2023"/>
        <s v="[Store_directory].[Дата відкриття].&amp;[2021-02-09T00:00:00]" c="09.02.2021"/>
        <s v="[Store_directory].[Дата відкриття].&amp;[2020-09-01T00:00:00]" c="01.09.2020"/>
        <s v="[Store_directory].[Дата відкриття].&amp;[2023-12-22T00:00:00]" c="22.12.2023"/>
        <s v="[Store_directory].[Дата відкриття].&amp;[2023-07-03T00:00:00]" c="03.07.2023"/>
        <s v="[Store_directory].[Дата відкриття].&amp;[2021-04-29T00:00:00]" c="29.04.2021"/>
        <s v="[Store_directory].[Дата відкриття].&amp;[2022-07-25T00:00:00]" c="25.07.2022"/>
        <s v="[Store_directory].[Дата відкриття].&amp;[2021-03-29T00:00:00]" c="29.03.2021"/>
        <s v="[Store_directory].[Дата відкриття].&amp;[2022-07-04T00:00:00]" c="04.07.2022"/>
        <s v="[Store_directory].[Дата відкриття].&amp;[2021-11-24T00:00:00]" c="24.11.2021"/>
        <s v="[Store_directory].[Дата відкриття].&amp;[2021-07-14T00:00:00]" c="14.07.2021"/>
        <s v="[Store_directory].[Дата відкриття].&amp;[2021-12-25T00:00:00]" c="25.12.2021"/>
        <s v="[Store_directory].[Дата відкриття].&amp;[2022-02-12T00:00:00]" c="12.02.2022"/>
        <s v="[Store_directory].[Дата відкриття].&amp;[2021-10-21T00:00:00]" c="21.10.2021"/>
        <s v="[Store_directory].[Дата відкриття].&amp;[2022-02-06T00:00:00]" c="06.02.2022"/>
        <s v="[Store_directory].[Дата відкриття].&amp;[2021-11-29T00:00:00]" c="29.11.2021"/>
        <s v="[Store_directory].[Дата відкриття].&amp;[2021-11-19T00:00:00]" c="19.11.2021"/>
        <s v="[Store_directory].[Дата відкриття].&amp;[2022-01-28T00:00:00]" c="28.01.2022"/>
        <s v="[Store_directory].[Дата відкриття].&amp;[2022-08-31T00:00:00]" c="31.08.2022"/>
        <s v="[Store_directory].[Дата відкриття].&amp;[2022-09-26T00:00:00]" c="26.09.2022"/>
        <s v="[Store_directory].[Дата відкриття].&amp;[2023-08-23T00:00:00]" c="23.08.2023"/>
        <s v="[Store_directory].[Дата відкриття].&amp;[2025-08-13T00:00:00]" c="13.08.2025"/>
        <s v="[Store_directory].[Дата відкриття].&amp;[2024-12-27T00:00:00]" c="27.12.2024"/>
        <s v="[Store_directory].[Дата відкриття].&amp;[2022-07-18T00:00:00]" c="18.07.2022"/>
        <s v="[Store_directory].[Дата відкриття].&amp;[2023-03-18T00:00:00]" c="18.03.2023"/>
        <s v="[Store_directory].[Дата відкриття].&amp;[2022-12-10T00:00:00]" c="10.12.2022"/>
        <s v="[Store_directory].[Дата відкриття].&amp;[2023-04-12T00:00:00]" c="12.04.2023"/>
        <s v="[Store_directory].[Дата відкриття].&amp;[2023-06-07T00:00:00]" c="07.06.2023"/>
        <s v="[Store_directory].[Дата відкриття].&amp;[2023-09-28T00:00:00]" c="28.09.2023"/>
        <s v="[Store_directory].[Дата відкриття].&amp;[2023-09-21T00:00:00]" c="21.09.2023"/>
        <s v="[Store_directory].[Дата відкриття].&amp;[2023-11-24T00:00:00]" c="24.11.2023"/>
        <s v="[Store_directory].[Дата відкриття].&amp;[2023-11-29T00:00:00]" c="29.11.2023"/>
        <s v="[Store_directory].[Дата відкриття].&amp;[2024-06-07T00:00:00]" c="07.06.2024"/>
        <s v="[Store_directory].[Дата відкриття].&amp;[2023-12-13T00:00:00]" c="13.12.2023"/>
        <s v="[Store_directory].[Дата відкриття].&amp;[2024-05-02T00:00:00]" c="02.05.2024"/>
        <s v="[Store_directory].[Дата відкриття].&amp;[2025-11-20T00:00:00]" c="20.11.2025"/>
        <s v="[Store_directory].[Дата відкриття].&amp;[2024-08-17T00:00:00]" c="17.08.2024"/>
        <s v="[Store_directory].[Дата відкриття].&amp;[2025-04-19T00:00:00]" c="19.04.2025"/>
        <s v="[Store_directory].[Дата відкриття].&amp;[2024-12-26T00:00:00]" c="26.12.2024"/>
        <s v="[Store_directory].[Дата відкриття].&amp;[2024-10-03T00:00:00]" c="03.10.2024"/>
        <s v="[Store_directory].[Дата відкриття].&amp;[2025-06-06T00:00:00]" c="06.06.2025"/>
        <s v="[Store_directory].[Дата відкриття].&amp;[2024-04-19T00:00:00]" c="19.04.2024"/>
        <s v="[Store_directory].[Дата відкриття].&amp;[2024-08-02T00:00:00]" c="02.08.2024"/>
        <s v="[Store_directory].[Дата відкриття].&amp;[2024-09-13T00:00:00]" c="13.09.2024"/>
        <s v="[Store_directory].[Дата відкриття].&amp;[2024-09-27T00:00:00]" c="27.09.2024"/>
        <s v="[Store_directory].[Дата відкриття].&amp;[2024-10-10T00:00:00]" c="10.10.2024"/>
        <s v="[Store_directory].[Дата відкриття].&amp;[2026-03-15T00:00:00]" c="15.03.2026"/>
        <s v="[Store_directory].[Дата відкриття].&amp;[2025-01-30T00:00:00]" c="30.01.2025"/>
        <s v="[Store_directory].[Дата відкриття].&amp;[2024-10-31T00:00:00]" c="31.10.2024"/>
        <s v="[Store_directory].[Дата відкриття].&amp;[2025-04-04T00:00:00]" c="04.04.2025"/>
        <s v="[Store_directory].[Дата відкриття].&amp;[2024-11-15T00:00:00]" c="15.11.2024"/>
        <s v="[Store_directory].[Дата відкриття].&amp;[2025-12-29T00:00:00]" c="29.12.2025"/>
        <s v="[Store_directory].[Дата відкриття].&amp;[2025-05-02T00:00:00]" c="02.05.2025"/>
        <s v="[Store_directory].[Дата відкриття].&amp;[2025-12-26T00:00:00]" c="26.12.2025"/>
        <s v="[Store_directory].[Дата відкриття].&amp;[2025-11-28T00:00:00]" c="28.11.2025"/>
        <s v="[Store_directory].[Дата відкриття].&amp;[2025-12-30T00:00:00]" c="30.12.2025"/>
        <s v="[Store_directory].[Дата відкриття].&amp;[2025-06-27T00:00:00]" c="27.06.2025"/>
        <s v="[Store_directory].[Дата відкриття].&amp;[2025-12-02T00:00:00]" c="02.12.2025"/>
        <s v="[Store_directory].[Дата відкриття].&amp;[2025-07-13T00:00:00]" c="13.07.2025"/>
        <s v="[Store_directory].[Дата відкриття].&amp;[2025-07-16T00:00:00]" c="16.07.2025"/>
        <s v="[Store_directory].[Дата відкриття].&amp;[2025-08-02T00:00:00]" c="02.08.2025"/>
        <s v="[Store_directory].[Дата відкриття].&amp;[2025-07-31T00:00:00]" c="31.07.2025"/>
        <s v="[Store_directory].[Дата відкриття].&amp;[2025-10-08T00:00:00]" c="08.10.2025"/>
        <s v="[Store_directory].[Дата відкриття].&amp;[2025-10-29T00:00:00]" c="29.10.2025"/>
        <s v="[Store_directory].[Дата відкриття].&amp;[2025-12-20T00:00:00]" c="20.12.2025"/>
        <s v="[Store_directory].[Дата відкриття].&amp;" c=""/>
        <s v="[Store_directory].[Дата відкриття].&amp;[2007-04-28T00:00:00]" c="28.04.2007"/>
        <s v="[Store_directory].[Дата відкриття].&amp;[2010-09-04T00:00:00]" c="04.09.2010"/>
        <s v="[Store_directory].[Дата відкриття].&amp;[2011-05-12T00:00:00]" c="12.05.2011"/>
        <s v="[Store_directory].[Дата відкриття].&amp;[2011-07-01T00:00:00]" c="01.07.2011"/>
        <s v="[Store_directory].[Дата відкриття].&amp;[2020-03-05T00:00:00]" c="05.03.2020"/>
        <s v="[Store_directory].[Дата відкриття].&amp;[2021-08-10T00:00:00]" c="10.08.2021"/>
        <s v="[Store_directory].[Дата відкриття].&amp;[2022-11-08T00:00:00]" c="08.11.2022"/>
        <s v="[Store_directory].[Дата відкриття].&amp;[2022-11-30T00:00:00]" c="30.11.2022"/>
        <s v="[Store_directory].[Дата відкриття].&amp;[2023-05-10T00:00:00]" c="10.05.2023"/>
        <s v="[Store_directory].[Дата відкриття].&amp;[2024-12-19T00:00:00]" c="19.12.2024"/>
        <s v="[Store_directory].[Дата відкриття].&amp;[2023-12-21T00:00:00]" c="21.12.2023"/>
        <s v="[Store_directory].[Дата відкриття].&amp;[2024-12-17T00:00:00]" c="17.12.2024"/>
        <s v="[Store_directory].[Дата відкриття].&amp;[2025-07-04T00:00:00]" c="04.07.2025"/>
        <s v="[Store_directory].[Дата відкриття].&amp;[2026-02-14T00:00:00]" c="14.02.2026"/>
        <s v="[Store_directory].[Дата відкриття].&amp;[2025-10-09T00:00:00]" c="09.10.2025"/>
        <s v="[Store_directory].[Дата відкриття].&amp;[2025-09-04T00:00:00]" c="04.09.2025"/>
        <s v="[Store_directory].[Дата відкриття].&amp;[2010-07-08T00:00:00]" c="08.07.2010"/>
        <s v="[Store_directory].[Дата відкриття].&amp;[2011-12-15T00:00:00]" c="15.12.2011"/>
        <s v="[Store_directory].[Дата відкриття].&amp;[2013-11-30T00:00:00]" c="30.11.2013"/>
        <s v="[Store_directory].[Дата відкриття].&amp;[2014-05-16T00:00:00]" c="16.05.2014"/>
        <s v="[Store_directory].[Дата відкриття].&amp;[2014-03-11T00:00:00]" c="11.03.2014"/>
        <s v="[Store_directory].[Дата відкриття].&amp;[2016-03-09T00:00:00]" c="09.03.2016"/>
        <s v="[Store_directory].[Дата відкриття].&amp;[2020-03-18T00:00:00]" c="18.03.2020"/>
        <s v="[Store_directory].[Дата відкриття].&amp;[2025-06-13T00:00:00]" c="13.06.2025"/>
        <s v="[Store_directory].[Дата відкриття].&amp;[2025-06-07T00:00:00]" c="07.06.2025"/>
        <s v="[Store_directory].[Дата відкриття].&amp;[2023-05-27T00:00:00]" c="27.05.2023"/>
        <s v="[Store_directory].[Дата відкриття].&amp;[2023-12-26T00:00:00]" c="26.12.2023"/>
        <s v="[Store_directory].[Дата відкриття].&amp;[2023-08-02T00:00:00]" c="02.08.2023"/>
        <s v="[Store_directory].[Дата відкриття].&amp;[2024-12-25T00:00:00]" c="25.12.2024"/>
        <s v="[Store_directory].[Дата відкриття].&amp;[2025-12-28T00:00:00]" c="28.12.2025"/>
        <s v="[Store_directory].[Дата відкриття].&amp;[2026-03-05T00:00:00]" c="05.03.2026"/>
        <s v="[Store_directory].[Дата відкриття].&amp;[2012-12-25T00:00:00]" c="25.12.2012"/>
        <s v="[Store_directory].[Дата відкриття].&amp;[2013-04-29T00:00:00]" c="29.04.2013"/>
        <s v="[Store_directory].[Дата відкриття].&amp;[2020-03-24T00:00:00]" c="24.03.2020"/>
        <s v="[Store_directory].[Дата відкриття].&amp;[2025-04-11T00:00:00]" c="11.04.2025"/>
        <s v="[Store_directory].[Дата відкриття].&amp;[2023-04-13T00:00:00]" c="13.04.2023"/>
        <s v="[Store_directory].[Дата відкриття].&amp;[2023-06-30T00:00:00]" c="30.06.2023"/>
        <s v="[Store_directory].[Дата відкриття].&amp;[2023-07-12T00:00:00]" c="12.07.2023"/>
        <s v="[Store_directory].[Дата відкриття].&amp;[2023-07-13T00:00:00]" c="13.07.2023"/>
        <s v="[Store_directory].[Дата відкриття].&amp;[2023-08-03T00:00:00]" c="03.08.2023"/>
        <s v="[Store_directory].[Дата відкриття].&amp;[2024-03-08T00:00:00]" c="08.03.2024"/>
        <s v="[Store_directory].[Дата відкриття].&amp;[2023-11-06T00:00:00]" c="06.11.2023"/>
        <s v="[Store_directory].[Дата відкриття].&amp;[2024-10-11T00:00:00]" c="11.10.2024"/>
        <s v="[Store_directory].[Дата відкриття].&amp;[2024-06-21T00:00:00]" c="21.06.2024"/>
        <s v="[Store_directory].[Дата відкриття].&amp;[2023-05-11T00:00:00]" c="11.05.2023"/>
        <s v="[Store_directory].[Дата відкриття].&amp;[2024-02-09T00:00:00]" c="09.02.2024"/>
        <s v="[Store_directory].[Дата відкриття].&amp;[2026-03-18T00:00:00]" c="18.03.2026"/>
        <s v="[Store_directory].[Дата відкриття].&amp;[2026-03-03T00:00:00]" c="03.03.2026"/>
        <s v="[Store_directory].[Дата відкриття].&amp;[2026-03-08T00:00:00]" c="08.03.2026"/>
        <s v="[Store_directory].[Дата відкриття].&amp;[2026-02-27T00:00:00]" c="27.02.2026"/>
        <s v="[Store_directory].[Дата відкриття].&amp;[2024-07-04T00:00:00]" c="04.07.2024"/>
        <s v="[Store_directory].[Дата відкриття].&amp;[2014-04-11T00:00:00]" c="11.04.2014"/>
        <s v="[Store_directory].[Дата відкриття].&amp;[2024-11-09T00:00:00]" c="09.11.2024"/>
        <s v="[Store_directory].[Дата відкриття].&amp;[2024-10-17T00:00:00]" c="17.10.2024"/>
        <s v="[Store_directory].[Дата відкриття].&amp;[2023-09-27T00:00:00]" c="27.09.2023"/>
        <s v="[Store_directory].[Дата відкриття].&amp;[2023-11-30T00:00:00]" c="30.11.2023"/>
        <s v="[Store_directory].[Дата відкриття].&amp;[2021-12-24T00:00:00]" c="24.12.2021"/>
        <s v="[Store_directory].[Дата відкриття].&amp;[2017-02-02T00:00:00]" c="02.02.2017"/>
        <s v="[Store_directory].[Дата відкриття].&amp;[2017-08-22T00:00:00]" c="22.08.2017"/>
        <s v="[Store_directory].[Дата відкриття].&amp;[2019-06-06T00:00:00]" c="06.06.2019"/>
        <s v="[Store_directory].[Дата відкриття].&amp;[2019-09-14T00:00:00]" c="14.09.2019"/>
        <s v="[Store_directory].[Дата відкриття].&amp;[2020-01-29T00:00:00]" c="29.01.2020"/>
        <s v="[Store_directory].[Дата відкриття].&amp;[2020-04-24T00:00:00]" c="24.04.2020"/>
        <s v="[Store_directory].[Дата відкриття].&amp;[2020-09-15T00:00:00]" c="15.09.2020"/>
        <s v="[Store_directory].[Дата відкриття].&amp;[2020-12-08T00:00:00]" c="08.12.2020"/>
        <s v="[Store_directory].[Дата відкриття].&amp;[2021-02-04T00:00:00]" c="04.02.2021"/>
        <s v="[Store_directory].[Дата відкриття].&amp;[2021-04-05T00:00:00]" c="05.04.2021"/>
        <s v="[Store_directory].[Дата відкриття].&amp;[2021-05-01T00:00:00]" c="01.05.2021"/>
        <s v="[Store_directory].[Дата відкриття].&amp;[2021-05-26T00:00:00]" c="26.05.2021"/>
        <s v="[Store_directory].[Дата відкриття].&amp;[2021-07-22T00:00:00]" c="22.07.2021"/>
        <s v="[Store_directory].[Дата відкриття].&amp;[2021-07-19T00:00:00]" c="19.07.2021"/>
        <s v="[Store_directory].[Дата відкриття].&amp;[2021-10-08T00:00:00]" c="08.10.2021"/>
        <s v="[Store_directory].[Дата відкриття].&amp;[2021-12-18T00:00:00]" c="18.12.2021"/>
        <s v="[Store_directory].[Дата відкриття].&amp;[2024-02-01T00:00:00]" c="01.02.2024"/>
        <s v="[Store_directory].[Дата відкриття].&amp;[2024-03-29T00:00:00]" c="29.03.2024"/>
        <s v="[Store_directory].[Дата відкриття].&amp;[2024-04-18T00:00:00]" c="18.04.2024"/>
        <s v="[Store_directory].[Дата відкриття].&amp;[2024-04-27T00:00:00]" c="27.04.2024"/>
        <s v="[Store_directory].[Дата відкриття].&amp;[2025-08-17T00:00:00]" c="17.08.2025"/>
        <s v="[Store_directory].[Дата відкриття].&amp;[2025-09-05T00:00:00]" c="05.09.2025"/>
        <s v="[Store_directory].[Дата відкриття].&amp;[2025-09-25T00:00:00]" c="25.09.2025"/>
        <s v="[Store_directory].[Дата відкриття].&amp;[2025-09-30T00:00:00]" c="30.09.2025"/>
        <s v="[Store_directory].[Дата відкриття].&amp;[2025-11-09T00:00:00]" c="09.11.2025"/>
        <s v="[Store_directory].[Дата відкриття].&amp;[2025-08-23T00:00:00]" c="23.08.2025"/>
      </sharedItems>
    </cacheField>
    <cacheField name="[Store_directory].[Власність].[Власність]" caption="Власність" numFmtId="0" hierarchy="37" level="1">
      <sharedItems containsSemiMixedTypes="0" containsString="0"/>
    </cacheField>
    <cacheField name="[Calendar_].[month].[month]" caption="month" numFmtId="0" hierarchy="2" level="1">
      <sharedItems count="7">
        <s v="[Calendar_].[month].&amp;[1]" c="1"/>
        <s v="[Calendar_].[month].&amp;[2]" c="2"/>
        <s v="[Calendar_].[month].&amp;[3]" c="3"/>
        <s v="[Calendar_].[month].&amp;[4]" c="4"/>
        <s v="[Calendar_].[month].&amp;[5]" c="5"/>
        <s v="[Calendar_].[month].&amp;[6]" c="6"/>
        <s v="[Calendar_].[month].&amp;[7]" c="7"/>
      </sharedItems>
    </cacheField>
  </cacheFields>
  <cacheHierarchies count="86">
    <cacheHierarchy uniqueName="[Calendar_].[DateFull]" caption="DateFull" attribute="1" time="1" keyAttribute="1" defaultMemberUniqueName="[Calendar_].[DateFull].[All]" allUniqueName="[Calendar_].[DateFull].[All]" dimensionUniqueName="[Calendar_]" displayFolder="" count="0" memberValueDatatype="7" unbalanced="0"/>
    <cacheHierarchy uniqueName="[Calendar_].[day]" caption="day" attribute="1" time="1" defaultMemberUniqueName="[Calendar_].[day].[All]" allUniqueName="[Calendar_].[day].[All]" dimensionUniqueName="[Calendar_]" displayFolder="" count="0" unbalanced="0"/>
    <cacheHierarchy uniqueName="[Calendar_].[month]" caption="month" attribute="1" time="1" defaultMemberUniqueName="[Calendar_].[month].[All]" allUniqueName="[Calendar_].[month].[All]" dimensionUniqueName="[Calendar_]" displayFolder="" count="2" unbalanced="0">
      <fieldsUsage count="2">
        <fieldUsage x="-1"/>
        <fieldUsage x="9"/>
      </fieldsUsage>
    </cacheHierarchy>
    <cacheHierarchy uniqueName="[Calendar_].[quarter]" caption="quarter" attribute="1" time="1" defaultMemberUniqueName="[Calendar_].[quarter].[All]" allUniqueName="[Calendar_].[quarter].[All]" dimensionUniqueName="[Calendar_]" displayFolder="" count="0" unbalanced="0"/>
    <cacheHierarchy uniqueName="[Calendar_].[quarterMonth]" caption="quarterMonth" attribute="1" time="1" defaultMemberUniqueName="[Calendar_].[quarterMonth].[All]" allUniqueName="[Calendar_].[quarterMonth].[All]" dimensionUniqueName="[Calendar_]" displayFolder="" count="0" unbalanced="0"/>
    <cacheHierarchy uniqueName="[Calendar_].[sortByMonth]" caption="sortByMonth" attribute="1" time="1" defaultMemberUniqueName="[Calendar_].[sortByMonth].[All]" allUniqueName="[Calendar_].[sortByMonth].[All]" dimensionUniqueName="[Calendar_]" displayFolder="" count="0" unbalanced="0"/>
    <cacheHierarchy uniqueName="[Calendar_].[UA_FullMonthWithYear]" caption="UA_FullMonthWithYear" attribute="1" time="1" defaultMemberUniqueName="[Calendar_].[UA_FullMonthWithYear].[All]" allUniqueName="[Calendar_].[UA_FullMonthWithYear].[All]" dimensionUniqueName="[Calendar_]" displayFolder="" count="0" unbalanced="0"/>
    <cacheHierarchy uniqueName="[Calendar_].[UA_MonthOfYear]" caption="UA_MonthOfYear" attribute="1" time="1" defaultMemberUniqueName="[Calendar_].[UA_MonthOfYear].[All]" allUniqueName="[Calendar_].[UA_MonthOfYear].[All]" dimensionUniqueName="[Calendar_]" displayFolder="" count="0" unbalanced="0"/>
    <cacheHierarchy uniqueName="[Calendar_].[UA_ShortMonth]" caption="UA_ShortMonth" attribute="1" time="1" defaultMemberUniqueName="[Calendar_].[UA_ShortMonth].[All]" allUniqueName="[Calendar_].[UA_ShortMonth].[All]" dimensionUniqueName="[Calendar_]" displayFolder="" count="0" unbalanced="0"/>
    <cacheHierarchy uniqueName="[Calendar_].[UA_ShortMonthWithYear]" caption="UA_ShortMonthWithYear" attribute="1" time="1" defaultMemberUniqueName="[Calendar_].[UA_ShortMonthWithYear].[All]" allUniqueName="[Calendar_].[UA_ShortMonthWithYear].[All]" dimensionUniqueName="[Calendar_]" displayFolder="" count="0" unbalanced="0"/>
    <cacheHierarchy uniqueName="[Calendar_].[year]" caption="year" attribute="1" time="1" defaultMemberUniqueName="[Calendar_].[year].[All]" allUniqueName="[Calendar_].[year].[All]" dimensionUniqueName="[Calendar_]" displayFolder="" count="2" unbalanced="0">
      <fieldsUsage count="2">
        <fieldUsage x="-1"/>
        <fieldUsage x="3"/>
      </fieldsUsage>
    </cacheHierarchy>
    <cacheHierarchy uniqueName="[fin_percent_rent].[mvz_id]" caption="mvz_id" attribute="1" defaultMemberUniqueName="[fin_percent_rent].[mvz_id].[All]" allUniqueName="[fin_percent_rent].[mvz_id].[All]" dimensionUniqueName="[fin_percent_rent]" displayFolder="" count="0" unbalanced="0"/>
    <cacheHierarchy uniqueName="[fin_percent_rent].[name_store]" caption="name_store" attribute="1" defaultMemberUniqueName="[fin_percent_rent].[name_store].[All]" allUniqueName="[fin_percent_rent].[name_store].[All]" dimensionUniqueName="[fin_percent_rent]" displayFolder="" count="0" unbalanced="0"/>
    <cacheHierarchy uniqueName="[fin_percent_rent].[percent_vid_TO]" caption="percent_vid_TO" attribute="1" defaultMemberUniqueName="[fin_percent_rent].[percent_vid_TO].[All]" allUniqueName="[fin_percent_rent].[percent_vid_TO].[All]" dimensionUniqueName="[fin_percent_rent]" displayFolder="" count="0" unbalanced="0"/>
    <cacheHierarchy uniqueName="[fin_percent_rent].[year]" caption="year" attribute="1" defaultMemberUniqueName="[fin_percent_rent].[year].[All]" allUniqueName="[fin_percent_rent].[year].[All]" dimensionUniqueName="[fin_percent_rent]" displayFolder="" count="2" unbalanced="0">
      <fieldsUsage count="2">
        <fieldUsage x="-1"/>
        <fieldUsage x="2"/>
      </fieldsUsage>
    </cacheHierarchy>
    <cacheHierarchy uniqueName="[Orenda_plan_fact].[a_plan]" caption="a_plan" attribute="1" defaultMemberUniqueName="[Orenda_plan_fact].[a_plan].[All]" allUniqueName="[Orenda_plan_fact].[a_plan].[All]" dimensionUniqueName="[Orenda_plan_fact]" displayFolder="" count="0" unbalanced="0"/>
    <cacheHierarchy uniqueName="[Orenda_plan_fact].[article_code]" caption="article_code" attribute="1" defaultMemberUniqueName="[Orenda_plan_fact].[article_code].[All]" allUniqueName="[Orenda_plan_fact].[article_code].[All]" dimensionUniqueName="[Orenda_plan_fact]" displayFolder="" count="0" unbalanced="0"/>
    <cacheHierarchy uniqueName="[Orenda_plan_fact].[ArticleCode_Title]" caption="ArticleCode_Title" attribute="1" defaultMemberUniqueName="[Orenda_plan_fact].[ArticleCode_Title].[All]" allUniqueName="[Orenda_plan_fact].[ArticleCode_Title].[All]" dimensionUniqueName="[Orenda_plan_fact]" displayFolder="" count="0" unbalanced="0"/>
    <cacheHierarchy uniqueName="[Orenda_plan_fact].[Date]" caption="Date" attribute="1" defaultMemberUniqueName="[Orenda_plan_fact].[Date].[All]" allUniqueName="[Orenda_plan_fact].[Date].[All]" dimensionUniqueName="[Orenda_plan_fact]" displayFolder="" count="0" unbalanced="0"/>
    <cacheHierarchy uniqueName="[Orenda_plan_fact].[date_opening]" caption="date_opening" attribute="1" defaultMemberUniqueName="[Orenda_plan_fact].[date_opening].[All]" allUniqueName="[Orenda_plan_fact].[date_opening].[All]" dimensionUniqueName="[Orenda_plan_fact]" displayFolder="" count="0" unbalanced="0"/>
    <cacheHierarchy uniqueName="[Orenda_plan_fact].[format]" caption="format" attribute="1" defaultMemberUniqueName="[Orenda_plan_fact].[format].[All]" allUniqueName="[Orenda_plan_fact].[format].[All]" dimensionUniqueName="[Orenda_plan_fact]" displayFolder="" count="0" unbalanced="0"/>
    <cacheHierarchy uniqueName="[Orenda_plan_fact].[groupCost]" caption="groupCost" attribute="1" defaultMemberUniqueName="[Orenda_plan_fact].[groupCost].[All]" allUniqueName="[Orenda_plan_fact].[groupCost].[All]" dimensionUniqueName="[Orenda_plan_fact]" displayFolder="" count="2" unbalanced="0">
      <fieldsUsage count="2">
        <fieldUsage x="-1"/>
        <fieldUsage x="1"/>
      </fieldsUsage>
    </cacheHierarchy>
    <cacheHierarchy uniqueName="[Orenda_plan_fact].[mapping_rent]" caption="mapping_rent" attribute="1" defaultMemberUniqueName="[Orenda_plan_fact].[mapping_rent].[All]" allUniqueName="[Orenda_plan_fact].[mapping_rent].[All]" dimensionUniqueName="[Orenda_plan_fact]" displayFolder="" count="0" unbalanced="0"/>
    <cacheHierarchy uniqueName="[Orenda_plan_fact].[mvv_id]" caption="mvv_id" attribute="1" defaultMemberUniqueName="[Orenda_plan_fact].[mvv_id].[All]" allUniqueName="[Orenda_plan_fact].[mvv_id].[All]" dimensionUniqueName="[Orenda_plan_fact]" displayFolder="" count="0" unbalanced="0"/>
    <cacheHierarchy uniqueName="[Orenda_plan_fact].[refit_closing_date]" caption="refit_closing_date" attribute="1" defaultMemberUniqueName="[Orenda_plan_fact].[refit_closing_date].[All]" allUniqueName="[Orenda_plan_fact].[refit_closing_date].[All]" dimensionUniqueName="[Orenda_plan_fact]" displayFolder="" count="0" unbalanced="0"/>
    <cacheHierarchy uniqueName="[Orenda_plan_fact].[refit_opening_date]" caption="refit_opening_date" attribute="1" defaultMemberUniqueName="[Orenda_plan_fact].[refit_opening_date].[All]" allUniqueName="[Orenda_plan_fact].[refit_opening_date].[All]" dimensionUniqueName="[Orenda_plan_fact]" displayFolder="" count="0" unbalanced="0"/>
    <cacheHierarchy uniqueName="[Orenda_plan_fact].[store_name]" caption="store_name" attribute="1" defaultMemberUniqueName="[Orenda_plan_fact].[store_name].[All]" allUniqueName="[Orenda_plan_fact].[store_name].[All]" dimensionUniqueName="[Orenda_plan_fact]" displayFolder="" count="0" unbalanced="0"/>
    <cacheHierarchy uniqueName="[Orenda_plan_fact].[store_type]" caption="store_type" attribute="1" defaultMemberUniqueName="[Orenda_plan_fact].[store_type].[All]" allUniqueName="[Orenda_plan_fact].[store_type].[All]" dimensionUniqueName="[Orenda_plan_fact]" displayFolder="" count="0" unbalanced="0"/>
    <cacheHierarchy uniqueName="[Orenda_plan_fact].[subformats]" caption="subformats" attribute="1" defaultMemberUniqueName="[Orenda_plan_fact].[subformats].[All]" allUniqueName="[Orenda_plan_fact].[subformats].[All]" dimensionUniqueName="[Orenda_plan_fact]" displayFolder="" count="0" unbalanced="0"/>
    <cacheHierarchy uniqueName="[Orenda_plan_fact].[sum_fact]" caption="sum_fact" attribute="1" defaultMemberUniqueName="[Orenda_plan_fact].[sum_fact].[All]" allUniqueName="[Orenda_plan_fact].[sum_fact].[All]" dimensionUniqueName="[Orenda_plan_fact]" displayFolder="" count="0" unbalanced="0"/>
    <cacheHierarchy uniqueName="[Orenda_plan_fact].[year_id]" caption="year_id" attribute="1" defaultMemberUniqueName="[Orenda_plan_fact].[year_id].[All]" allUniqueName="[Orenda_plan_fact].[year_id].[All]" dimensionUniqueName="[Orenda_plan_fact]" displayFolder="" count="0" unbalanced="0"/>
    <cacheHierarchy uniqueName="[Store_directory].[filialid]" caption="filialid" attribute="1" defaultMemberUniqueName="[Store_directory].[filialid].[All]" allUniqueName="[Store_directory].[filialid].[All]" dimensionUniqueName="[Store_directory]" displayFolder="" count="0" unbalanced="0"/>
    <cacheHierarchy uniqueName="[Store_directory].[Mapping Оренда]" caption="Mapping Оренда" attribute="1" defaultMemberUniqueName="[Store_directory].[Mapping Оренда].[All]" allUniqueName="[Store_directory].[Mapping Оренда].[All]" dimensionUniqueName="[Store_directory]" displayFolder="" count="0" unbalanced="0"/>
    <cacheHierarchy uniqueName="[Store_directory].[Mapping ФОТ]" caption="Mapping ФОТ" attribute="1" defaultMemberUniqueName="[Store_directory].[Mapping ФОТ].[All]" allUniqueName="[Store_directory].[Mapping ФОТ].[All]" dimensionUniqueName="[Store_directory]" displayFolder="" count="0" unbalanced="0"/>
    <cacheHierarchy uniqueName="[Store_directory].[№ п/п3]" caption="№ п/п3" attribute="1" defaultMemberUniqueName="[Store_directory].[№ п/п3].[All]" allUniqueName="[Store_directory].[№ п/п3].[All]" dimensionUniqueName="[Store_directory]" displayFolder="" count="0" unbalanced="0"/>
    <cacheHierarchy uniqueName="[Store_directory].[Вид]" caption="Вид" attribute="1" defaultMemberUniqueName="[Store_directory].[Вид].[All]" allUniqueName="[Store_directory].[Вид].[All]" dimensionUniqueName="[Store_directory]" displayFolder="" count="0" unbalanced="0"/>
    <cacheHierarchy uniqueName="[Store_directory].[Вид МВВ]" caption="Вид МВВ" attribute="1" defaultMemberUniqueName="[Store_directory].[Вид МВВ].[All]" allUniqueName="[Store_directory].[Вид МВВ].[All]" dimensionUniqueName="[Store_directory]" displayFolder="" count="2" unbalanced="0">
      <fieldsUsage count="2">
        <fieldUsage x="-1"/>
        <fieldUsage x="4"/>
      </fieldsUsage>
    </cacheHierarchy>
    <cacheHierarchy uniqueName="[Store_directory].[Власність]" caption="Власність" attribute="1" defaultMemberUniqueName="[Store_directory].[Власність].[All]" allUniqueName="[Store_directory].[Власність].[All]" dimensionUniqueName="[Store_directory]" displayFolder="" count="2" unbalanced="0">
      <fieldsUsage count="2">
        <fieldUsage x="-1"/>
        <fieldUsage x="8"/>
      </fieldsUsage>
    </cacheHierarchy>
    <cacheHierarchy uniqueName="[Store_directory].[Дата відкриття]" caption="Дата відкриття" attribute="1" defaultMemberUniqueName="[Store_directory].[Дата відкриття].[All]" allUniqueName="[Store_directory].[Дата відкриття].[All]" dimensionUniqueName="[Store_directory]" displayFolder="" count="2" unbalanced="0">
      <fieldsUsage count="2">
        <fieldUsage x="-1"/>
        <fieldUsage x="7"/>
      </fieldsUsage>
    </cacheHierarchy>
    <cacheHierarchy uniqueName="[Store_directory].[Дата закриття]" caption="Дата закриття" attribute="1" defaultMemberUniqueName="[Store_directory].[Дата закриття].[All]" allUniqueName="[Store_directory].[Дата закриття].[All]" dimensionUniqueName="[Store_directory]" displayFolder="" count="0" unbalanced="0"/>
    <cacheHierarchy uniqueName="[Store_directory].[Дата рефіт відкриття]" caption="Дата рефіт відкриття" attribute="1" defaultMemberUniqueName="[Store_directory].[Дата рефіт відкриття].[All]" allUniqueName="[Store_directory].[Дата рефіт відкриття].[All]" dimensionUniqueName="[Store_directory]" displayFolder="" count="0" unbalanced="0"/>
    <cacheHierarchy uniqueName="[Store_directory].[Дата рефіт закриття]" caption="Дата рефіт закриття" attribute="1" defaultMemberUniqueName="[Store_directory].[Дата рефіт закриття].[All]" allUniqueName="[Store_directory].[Дата рефіт закриття].[All]" dimensionUniqueName="[Store_directory]" displayFolder="" count="0" unbalanced="0"/>
    <cacheHierarchy uniqueName="[Store_directory].[Код МВВ]" caption="Код МВВ" attribute="1" defaultMemberUniqueName="[Store_directory].[Код МВВ].[All]" allUniqueName="[Store_directory].[Код МВВ].[All]" dimensionUniqueName="[Store_directory]" displayFolder="" count="2" unbalanced="0">
      <fieldsUsage count="2">
        <fieldUsage x="-1"/>
        <fieldUsage x="5"/>
      </fieldsUsage>
    </cacheHierarchy>
    <cacheHierarchy uniqueName="[Store_directory].[Координати]" caption="Координати" attribute="1" defaultMemberUniqueName="[Store_directory].[Координати].[All]" allUniqueName="[Store_directory].[Координати].[All]" dimensionUniqueName="[Store_directory]" displayFolder="" count="0" unbalanced="0"/>
    <cacheHierarchy uniqueName="[Store_directory].[Назва магазину]" caption="Назва магазину" attribute="1" defaultMemberUniqueName="[Store_directory].[Назва магазину].[All]" allUniqueName="[Store_directory].[Назва магазину].[All]" dimensionUniqueName="[Store_directory]" displayFolder="" count="2" unbalanced="0">
      <fieldsUsage count="2">
        <fieldUsage x="-1"/>
        <fieldUsage x="6"/>
      </fieldsUsage>
    </cacheHierarchy>
    <cacheHierarchy uniqueName="[Store_directory].[Субформати]" caption="Субформати" attribute="1" defaultMemberUniqueName="[Store_directory].[Субформати].[All]" allUniqueName="[Store_directory].[Субформати].[All]" dimensionUniqueName="[Store_directory]" displayFolder="" count="0" unbalanced="0"/>
    <cacheHierarchy uniqueName="[Store_directory].[Тип супроводу магазину]" caption="Тип супроводу магазину" attribute="1" defaultMemberUniqueName="[Store_directory].[Тип супроводу магазину].[All]" allUniqueName="[Store_directory].[Тип супроводу магазину].[All]" dimensionUniqueName="[Store_directory]" displayFolder="" count="0" unbalanced="0"/>
    <cacheHierarchy uniqueName="[Store_directory].[Формати]" caption="Формати" attribute="1" defaultMemberUniqueName="[Store_directory].[Формати].[All]" allUniqueName="[Store_directory].[Формати].[All]" dimensionUniqueName="[Store_directory]" displayFolder="" count="0" unbalanced="0"/>
    <cacheHierarchy uniqueName="[Vyruchka_plan_fact].[a_plan]" caption="a_plan" attribute="1" defaultMemberUniqueName="[Vyruchka_plan_fact].[a_plan].[All]" allUniqueName="[Vyruchka_plan_fact].[a_plan].[All]" dimensionUniqueName="[Vyruchka_plan_fact]" displayFolder="" count="0" unbalanced="0"/>
    <cacheHierarchy uniqueName="[Vyruchka_plan_fact].[Date]" caption="Date" attribute="1" defaultMemberUniqueName="[Vyruchka_plan_fact].[Date].[All]" allUniqueName="[Vyruchka_plan_fact].[Date].[All]" dimensionUniqueName="[Vyruchka_plan_fact]" displayFolder="" count="0" unbalanced="0"/>
    <cacheHierarchy uniqueName="[Vyruchka_plan_fact].[mvv_id]" caption="mvv_id" attribute="1" defaultMemberUniqueName="[Vyruchka_plan_fact].[mvv_id].[All]" allUniqueName="[Vyruchka_plan_fact].[mvv_id].[All]" dimensionUniqueName="[Vyruchka_plan_fact]" displayFolder="" count="0" unbalanced="0"/>
    <cacheHierarchy uniqueName="[Vyruchka_plan_fact].[sum_fact]" caption="sum_fact" attribute="1" defaultMemberUniqueName="[Vyruchka_plan_fact].[sum_fact].[All]" allUniqueName="[Vyruchka_plan_fact].[sum_fact].[All]" dimensionUniqueName="[Vyruchka_plan_fact]" displayFolder="" count="0" unbalanced="0"/>
    <cacheHierarchy uniqueName="[Vyruchka_plan_fact].[year_id]" caption="year_id" attribute="1" defaultMemberUniqueName="[Vyruchka_plan_fact].[year_id].[All]" allUniqueName="[Vyruchka_plan_fact].[year_id].[All]" dimensionUniqueName="[Vyruchka_plan_fact]" displayFolder="" count="0" unbalanced="0"/>
    <cacheHierarchy uniqueName="[Параметр].[Параметр]" caption="Параметр" attribute="1" defaultMemberUniqueName="[Параметр].[Параметр].[All]" allUniqueName="[Параметр].[Параметр].[All]" dimensionUniqueName="[Параметр]" displayFolder="" count="0" unbalanced="0"/>
    <cacheHierarchy uniqueName="[Група обчислення].[Порядковий]" caption="Порядковий" attribute="1" defaultMemberUniqueName="[Група обчислення].[Порядковий].[All]" allUniqueName="[Група обчислення].[Порядковий].[All]" dimensionUniqueName="[Група обчислення]" displayFolder="" count="0" unbalanced="0" hidden="1"/>
    <cacheHierarchy uniqueName="[Група обчислення].[Стовпець групи обчислення]" caption="Стовпець групи обчислення" attribute="1" defaultMemberUniqueName="[Група обчислення].[Стовпець групи обчислення].[All]" allUniqueName="[Група обчислення].[Стовпець групи обчислення].[All]" dimensionUniqueName="[Група обчислення]" displayFolder="" count="0" unbalanced="0" hidden="1"/>
    <cacheHierarchy uniqueName="[Параметр].[Параметр Замовлення]" caption="Параметр Замовлення" attribute="1" defaultMemberUniqueName="[Параметр].[Параметр Замовлення].[All]" allUniqueName="[Параметр].[Параметр Замовлення].[All]" dimensionUniqueName="[Параметр]" displayFolder="" count="0" unbalanced="0" hidden="1"/>
    <cacheHierarchy uniqueName="[Параметр].[Параметр Поля]" caption="Параметр Поля" attribute="1" defaultMemberUniqueName="[Параметр].[Параметр Поля].[All]" allUniqueName="[Параметр].[Параметр Поля].[All]" dimensionUniqueName="[Параметр]" displayFolder="" count="0" unbalanced="0" hidden="1"/>
    <cacheHierarchy uniqueName="[Measures].[Fact]" caption="Fact" measure="1" displayFolder="" measureGroup="Група обчислення" count="0" oneField="1">
      <fieldsUsage count="1">
        <fieldUsage x="0"/>
      </fieldsUsage>
    </cacheHierarchy>
    <cacheHierarchy uniqueName="[Measures].[% від ТО_Plan]" caption="% від ТО_Plan" measure="1" displayFolder="" measureGroup="Група обчислення" count="0"/>
    <cacheHierarchy uniqueName="[Measures].[Plan]" caption="Plan" measure="1" displayFolder="" measureGroup="Група обчислення" count="0"/>
    <cacheHierarchy uniqueName="[Measures].[Відхилення, грн]" caption="Відхилення, грн" measure="1" displayFolder="" measureGroup="Група обчислення" count="0"/>
    <cacheHierarchy uniqueName="[Measures].[% Виконання]" caption="% Виконання" measure="1" displayFolder="" measureGroup="Група обчислення" count="0"/>
    <cacheHierarchy uniqueName="[Measures].[Plan_TO]" caption="Plan_TO" measure="1" displayFolder="" measureGroup="Група обчислення" count="0"/>
    <cacheHierarchy uniqueName="[Measures].[Fact_TO]" caption="Fact_TO" measure="1" displayFolder="" measureGroup="Група обчислення" count="0"/>
    <cacheHierarchy uniqueName="[Measures].[% від ТО_Fact]" caption="% від ТО_Fact" measure="1" displayFolder="" measureGroup="Група обчислення" count="0"/>
    <cacheHierarchy uniqueName="[Measures].[%% від ТО]" caption="%% від ТО" measure="1" displayFolder="" measureGroup="Група обчислення" count="0"/>
    <cacheHierarchy uniqueName="[Measures].[% Fact]" caption="% Fact" measure="1" displayFolder="" measureGroup="Група обчислення" count="0"/>
    <cacheHierarchy uniqueName="[Measures].[Приріст колір]" caption="Приріст колір" measure="1" displayFolder="" measureGroup="Група обчислення" count="0"/>
    <cacheHierarchy uniqueName="[Measures].[% Plan]" caption="% Plan" measure="1" displayFolder="" measureGroup="Група обчислення" count="0"/>
    <cacheHierarchy uniqueName="[Measures].[Факт]" caption="Факт" measure="1" displayFolder="" measureGroup="Група обчислення" count="0"/>
    <cacheHierarchy uniqueName="[Measures].[План]" caption="План" measure="1" displayFolder="" measureGroup="Група обчислення" count="0"/>
    <cacheHierarchy uniqueName="[Measures].[Title_]" caption="Title_" measure="1" displayFolder="" measureGroup="Група обчислення" count="0"/>
    <cacheHierarchy uniqueName="[Measures].[Приріст]" caption="Приріст" measure="1" displayFolder="" measureGroup="Група обчислення" count="0"/>
    <cacheHierarchy uniqueName="[Measures].[% Оренди]" caption="% Оренди" measure="1" displayFolder="" measureGroup="Група обчислення" count="0"/>
    <cacheHierarchy uniqueName="[Measures].[Fact LY]" caption="Fact LY" measure="1" displayFolder="" measureGroup="Група обчислення" count="0"/>
    <cacheHierarchy uniqueName="[Measures].[Відхилення до плану, грн]" caption="Відхилення до плану, грн" measure="1" displayFolder="" measureGroup="Група обчислення" count="0"/>
    <cacheHierarchy uniqueName="[Measures].[% Відхилення до плану]" caption="% Відхилення до плану" measure="1" displayFolder="" measureGroup="Група обчислення" count="0"/>
    <cacheHierarchy uniqueName="[Measures].[Відхилення до минулого року, грн]" caption="Відхилення до минулого року, грн" measure="1" displayFolder="" measureGroup="Група обчислення" count="0"/>
    <cacheHierarchy uniqueName="[Measures].[% Відхилення до минулого року]" caption="% Відхилення до минулого року" measure="1" displayFolder="" measureGroup="Група обчислення" count="0"/>
    <cacheHierarchy uniqueName="[Measures].[Факт LY]" caption="Факт LY" measure="1" displayFolder="" measureGroup="Група обчислення" count="0"/>
    <cacheHierarchy uniqueName="[Measures].[Відхилення до плану, грн (візуал)]" caption="Відхилення до плану, грн (візуал)" measure="1" displayFolder="" measureGroup="Група обчислення" count="0"/>
    <cacheHierarchy uniqueName="[Measures].[% Відхилення до плану (візуал)]" caption="% Відхилення до плану (візуал)" measure="1" displayFolder="" measureGroup="Група обчислення" count="0"/>
    <cacheHierarchy uniqueName="[Measures].[Відхилення до минулого року, грн (візуал)]" caption="Відхилення до минулого року, грн (візуал)" measure="1" displayFolder="" measureGroup="Група обчислення" count="0"/>
    <cacheHierarchy uniqueName="[Measures].[% Відхилення до минулого року (візуал)]" caption="% Відхилення до минулого року (візуал)" measure="1" displayFolder="" measureGroup="Група обчислення" count="0"/>
    <cacheHierarchy uniqueName="[Measures].[__Default measure]" caption="__Default measure" measure="1" displayFolder="" count="0" hidden="1"/>
  </cacheHierarchies>
  <kpis count="0"/>
  <dimensions count="7">
    <dimension name="Calendar_" uniqueName="[Calendar_]" caption="Calendar_"/>
    <dimension name="fin_percent_rent" uniqueName="[fin_percent_rent]" caption="fin_percent_rent"/>
    <dimension measure="1" name="Measures" uniqueName="[Measures]" caption="Measures"/>
    <dimension name="Orenda_plan_fact" uniqueName="[Orenda_plan_fact]" caption="Orenda_plan_fact"/>
    <dimension name="Store_directory" uniqueName="[Store_directory]" caption="Store_directory"/>
    <dimension name="Vyruchka_plan_fact" uniqueName="[Vyruchka_plan_fact]" caption="Vyruchka_plan_fact"/>
    <dimension name="Параметр" uniqueName="[Параметр]" caption="Параметр"/>
  </dimensions>
  <measureGroups count="7">
    <measureGroup name="Calendar_" caption="Calendar_"/>
    <measureGroup name="fin_percent_rent" caption="fin_percent_rent"/>
    <measureGroup name="Orenda_plan_fact" caption="Orenda_plan_fact"/>
    <measureGroup name="Store_directory" caption="Store_directory"/>
    <measureGroup name="Vyruchka_plan_fact" caption="Vyruchka_plan_fact"/>
    <measureGroup name="Група обчислення" caption="Група обчислення"/>
    <measureGroup name="Параметр" caption="Параметр"/>
  </measureGroups>
  <maps count="14">
    <map measureGroup="0" dimension="0"/>
    <map measureGroup="1" dimension="0"/>
    <map measureGroup="1" dimension="1"/>
    <map measureGroup="1" dimension="3"/>
    <map measureGroup="1" dimension="4"/>
    <map measureGroup="2" dimension="0"/>
    <map measureGroup="2" dimension="1"/>
    <map measureGroup="2" dimension="3"/>
    <map measureGroup="2" dimension="4"/>
    <map measureGroup="3" dimension="4"/>
    <map measureGroup="4" dimension="0"/>
    <map measureGroup="4" dimension="4"/>
    <map measureGroup="4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=""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56657-A8DA-4607-9795-46A600573450}" name="PivotTable1" cacheId="1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6" indent="0" compact="0" compactData="0" multipleFieldFilters="0" fieldListSortAscending="1">
  <location ref="A6:K432" firstHeaderRow="1" firstDataRow="2" firstDataCol="3" rowPageCount="4" colPageCount="1"/>
  <pivotFields count="10">
    <pivotField dataField="1" compact="0" outline="0" showAll="0"/>
    <pivotField axis="axisPage" compact="0" allDrilled="1" outline="0" showAll="0" dataSourceSort="1" defaultAttributeDrillState="1">
      <items count="1">
        <item t="default"/>
      </items>
    </pivotField>
    <pivotField compact="0" allDrilled="1" outline="0" showAll="0" dataSourceSort="1" defaultAttributeDrillState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Row" compact="0" allDrilled="1" outline="0" showAll="0" dataSourceSort="1" defaultSubtotal="0" defaultAttributeDrillState="1">
      <items count="4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</items>
    </pivotField>
    <pivotField axis="axisRow" compact="0" allDrilled="1" outline="0" showAll="0" dataSourceSort="1" defaultSubtotal="0" defaultAttributeDrillState="1">
      <items count="4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</items>
    </pivotField>
    <pivotField axis="axisRow" compact="0" allDrilled="1" outline="0" showAll="0" dataSourceSort="1" defaultAttributeDrillState="1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Col" compact="0" allDrilled="1" outline="0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3">
    <field x="5"/>
    <field x="6"/>
    <field x="7"/>
  </rowFields>
  <rowItems count="425">
    <i>
      <x/>
      <x/>
      <x/>
    </i>
    <i>
      <x v="1"/>
      <x v="1"/>
      <x v="1"/>
    </i>
    <i>
      <x v="2"/>
      <x v="2"/>
      <x v="2"/>
    </i>
    <i>
      <x v="3"/>
      <x v="3"/>
      <x v="3"/>
    </i>
    <i>
      <x v="4"/>
      <x v="4"/>
      <x v="4"/>
    </i>
    <i>
      <x v="5"/>
      <x v="5"/>
      <x v="5"/>
    </i>
    <i>
      <x v="6"/>
      <x v="6"/>
      <x v="6"/>
    </i>
    <i>
      <x v="7"/>
      <x v="7"/>
      <x v="7"/>
    </i>
    <i>
      <x v="8"/>
      <x v="8"/>
      <x v="8"/>
    </i>
    <i>
      <x v="9"/>
      <x v="9"/>
      <x v="9"/>
    </i>
    <i>
      <x v="10"/>
      <x v="10"/>
      <x v="10"/>
    </i>
    <i>
      <x v="11"/>
      <x v="11"/>
      <x v="11"/>
    </i>
    <i>
      <x v="12"/>
      <x v="12"/>
      <x v="12"/>
    </i>
    <i>
      <x v="13"/>
      <x v="13"/>
      <x v="13"/>
    </i>
    <i>
      <x v="14"/>
      <x v="14"/>
      <x v="14"/>
    </i>
    <i>
      <x v="15"/>
      <x v="15"/>
      <x v="15"/>
    </i>
    <i>
      <x v="16"/>
      <x v="16"/>
      <x v="16"/>
    </i>
    <i>
      <x v="17"/>
      <x v="17"/>
      <x v="17"/>
    </i>
    <i>
      <x v="18"/>
      <x v="18"/>
      <x v="18"/>
    </i>
    <i>
      <x v="19"/>
      <x v="19"/>
      <x v="19"/>
    </i>
    <i>
      <x v="20"/>
      <x v="20"/>
      <x v="20"/>
    </i>
    <i>
      <x v="21"/>
      <x v="21"/>
      <x v="21"/>
    </i>
    <i>
      <x v="22"/>
      <x v="22"/>
      <x v="22"/>
    </i>
    <i>
      <x v="23"/>
      <x v="23"/>
      <x v="23"/>
    </i>
    <i>
      <x v="24"/>
      <x v="24"/>
      <x v="24"/>
    </i>
    <i>
      <x v="25"/>
      <x v="25"/>
      <x v="25"/>
    </i>
    <i>
      <x v="26"/>
      <x v="26"/>
      <x v="26"/>
    </i>
    <i>
      <x v="27"/>
      <x v="27"/>
      <x v="27"/>
    </i>
    <i>
      <x v="28"/>
      <x v="28"/>
      <x v="28"/>
    </i>
    <i>
      <x v="29"/>
      <x v="29"/>
      <x v="29"/>
    </i>
    <i>
      <x v="30"/>
      <x v="30"/>
      <x v="30"/>
    </i>
    <i>
      <x v="31"/>
      <x v="31"/>
      <x v="31"/>
    </i>
    <i>
      <x v="32"/>
      <x v="32"/>
      <x v="32"/>
    </i>
    <i>
      <x v="33"/>
      <x v="33"/>
      <x v="33"/>
    </i>
    <i>
      <x v="34"/>
      <x v="34"/>
      <x v="34"/>
    </i>
    <i>
      <x v="35"/>
      <x v="35"/>
      <x v="35"/>
    </i>
    <i>
      <x v="36"/>
      <x v="36"/>
      <x v="36"/>
    </i>
    <i>
      <x v="37"/>
      <x v="37"/>
      <x v="37"/>
    </i>
    <i>
      <x v="38"/>
      <x v="38"/>
      <x v="32"/>
    </i>
    <i>
      <x v="39"/>
      <x v="39"/>
      <x v="38"/>
    </i>
    <i>
      <x v="40"/>
      <x v="40"/>
      <x v="39"/>
    </i>
    <i>
      <x v="41"/>
      <x v="41"/>
      <x v="40"/>
    </i>
    <i>
      <x v="42"/>
      <x v="42"/>
      <x v="41"/>
    </i>
    <i>
      <x v="43"/>
      <x v="43"/>
      <x v="42"/>
    </i>
    <i>
      <x v="44"/>
      <x v="44"/>
      <x v="43"/>
    </i>
    <i>
      <x v="45"/>
      <x v="45"/>
      <x v="44"/>
    </i>
    <i>
      <x v="46"/>
      <x v="46"/>
      <x v="45"/>
    </i>
    <i>
      <x v="47"/>
      <x v="47"/>
      <x v="46"/>
    </i>
    <i>
      <x v="48"/>
      <x v="48"/>
      <x v="47"/>
    </i>
    <i>
      <x v="49"/>
      <x v="49"/>
      <x v="48"/>
    </i>
    <i>
      <x v="50"/>
      <x v="50"/>
      <x v="44"/>
    </i>
    <i>
      <x v="51"/>
      <x v="51"/>
      <x v="49"/>
    </i>
    <i>
      <x v="52"/>
      <x v="52"/>
      <x v="50"/>
    </i>
    <i>
      <x v="53"/>
      <x v="53"/>
      <x v="51"/>
    </i>
    <i>
      <x v="54"/>
      <x v="54"/>
      <x v="52"/>
    </i>
    <i>
      <x v="55"/>
      <x v="55"/>
      <x v="52"/>
    </i>
    <i>
      <x v="56"/>
      <x v="56"/>
      <x v="53"/>
    </i>
    <i>
      <x v="57"/>
      <x v="57"/>
      <x v="52"/>
    </i>
    <i>
      <x v="58"/>
      <x v="58"/>
      <x v="54"/>
    </i>
    <i>
      <x v="59"/>
      <x v="59"/>
      <x v="52"/>
    </i>
    <i>
      <x v="60"/>
      <x v="60"/>
      <x v="55"/>
    </i>
    <i>
      <x v="61"/>
      <x v="61"/>
      <x v="56"/>
    </i>
    <i>
      <x v="62"/>
      <x v="62"/>
      <x v="57"/>
    </i>
    <i>
      <x v="63"/>
      <x v="63"/>
      <x v="58"/>
    </i>
    <i>
      <x v="64"/>
      <x v="64"/>
      <x v="52"/>
    </i>
    <i>
      <x v="65"/>
      <x v="65"/>
      <x v="52"/>
    </i>
    <i>
      <x v="66"/>
      <x v="66"/>
      <x v="52"/>
    </i>
    <i>
      <x v="67"/>
      <x v="67"/>
      <x v="52"/>
    </i>
    <i>
      <x v="68"/>
      <x v="68"/>
      <x v="59"/>
    </i>
    <i>
      <x v="69"/>
      <x v="69"/>
      <x v="52"/>
    </i>
    <i>
      <x v="70"/>
      <x v="70"/>
      <x v="52"/>
    </i>
    <i>
      <x v="71"/>
      <x v="71"/>
      <x v="52"/>
    </i>
    <i>
      <x v="72"/>
      <x v="72"/>
      <x v="52"/>
    </i>
    <i>
      <x v="73"/>
      <x v="73"/>
      <x v="52"/>
    </i>
    <i>
      <x v="74"/>
      <x v="74"/>
      <x v="52"/>
    </i>
    <i>
      <x v="75"/>
      <x v="75"/>
      <x v="52"/>
    </i>
    <i>
      <x v="76"/>
      <x v="76"/>
      <x v="52"/>
    </i>
    <i>
      <x v="77"/>
      <x v="77"/>
      <x v="60"/>
    </i>
    <i>
      <x v="78"/>
      <x v="78"/>
      <x v="52"/>
    </i>
    <i>
      <x v="79"/>
      <x v="79"/>
      <x v="61"/>
    </i>
    <i>
      <x v="80"/>
      <x v="80"/>
      <x v="62"/>
    </i>
    <i>
      <x v="81"/>
      <x v="81"/>
      <x v="63"/>
    </i>
    <i>
      <x v="82"/>
      <x v="82"/>
      <x v="64"/>
    </i>
    <i>
      <x v="83"/>
      <x v="83"/>
      <x v="65"/>
    </i>
    <i>
      <x v="84"/>
      <x v="84"/>
      <x v="66"/>
    </i>
    <i>
      <x v="85"/>
      <x v="85"/>
      <x v="67"/>
    </i>
    <i>
      <x v="86"/>
      <x v="86"/>
      <x v="68"/>
    </i>
    <i>
      <x v="87"/>
      <x v="87"/>
      <x v="69"/>
    </i>
    <i>
      <x v="88"/>
      <x v="88"/>
      <x v="70"/>
    </i>
    <i>
      <x v="89"/>
      <x v="89"/>
      <x v="71"/>
    </i>
    <i>
      <x v="90"/>
      <x v="90"/>
      <x v="72"/>
    </i>
    <i>
      <x v="91"/>
      <x v="91"/>
      <x v="73"/>
    </i>
    <i>
      <x v="92"/>
      <x v="92"/>
      <x v="74"/>
    </i>
    <i>
      <x v="93"/>
      <x v="93"/>
      <x v="75"/>
    </i>
    <i>
      <x v="94"/>
      <x v="94"/>
      <x v="76"/>
    </i>
    <i>
      <x v="95"/>
      <x v="95"/>
      <x v="77"/>
    </i>
    <i>
      <x v="96"/>
      <x v="96"/>
      <x v="78"/>
    </i>
    <i>
      <x v="97"/>
      <x v="97"/>
      <x v="79"/>
    </i>
    <i>
      <x v="98"/>
      <x v="98"/>
      <x v="80"/>
    </i>
    <i>
      <x v="99"/>
      <x v="99"/>
      <x v="71"/>
    </i>
    <i>
      <x v="100"/>
      <x v="100"/>
      <x v="81"/>
    </i>
    <i>
      <x v="101"/>
      <x v="101"/>
      <x v="82"/>
    </i>
    <i>
      <x v="102"/>
      <x v="102"/>
      <x v="83"/>
    </i>
    <i>
      <x v="103"/>
      <x v="103"/>
      <x v="84"/>
    </i>
    <i>
      <x v="104"/>
      <x v="104"/>
      <x v="85"/>
    </i>
    <i>
      <x v="105"/>
      <x v="105"/>
      <x v="86"/>
    </i>
    <i>
      <x v="106"/>
      <x v="106"/>
      <x v="87"/>
    </i>
    <i>
      <x v="107"/>
      <x v="107"/>
      <x v="88"/>
    </i>
    <i>
      <x v="108"/>
      <x v="108"/>
      <x v="89"/>
    </i>
    <i>
      <x v="109"/>
      <x v="109"/>
      <x v="90"/>
    </i>
    <i>
      <x v="110"/>
      <x v="110"/>
      <x v="91"/>
    </i>
    <i>
      <x v="111"/>
      <x v="111"/>
      <x v="92"/>
    </i>
    <i>
      <x v="112"/>
      <x v="112"/>
      <x v="93"/>
    </i>
    <i>
      <x v="113"/>
      <x v="113"/>
      <x v="94"/>
    </i>
    <i>
      <x v="114"/>
      <x v="114"/>
      <x v="95"/>
    </i>
    <i>
      <x v="115"/>
      <x v="115"/>
      <x v="96"/>
    </i>
    <i>
      <x v="116"/>
      <x v="116"/>
      <x v="97"/>
    </i>
    <i>
      <x v="117"/>
      <x v="117"/>
      <x v="98"/>
    </i>
    <i>
      <x v="118"/>
      <x v="118"/>
      <x v="91"/>
    </i>
    <i>
      <x v="119"/>
      <x v="119"/>
      <x v="99"/>
    </i>
    <i>
      <x v="120"/>
      <x v="120"/>
      <x v="100"/>
    </i>
    <i>
      <x v="121"/>
      <x v="121"/>
      <x v="101"/>
    </i>
    <i>
      <x v="122"/>
      <x v="122"/>
      <x v="102"/>
    </i>
    <i>
      <x v="123"/>
      <x v="123"/>
      <x v="103"/>
    </i>
    <i>
      <x v="124"/>
      <x v="124"/>
      <x v="104"/>
    </i>
    <i>
      <x v="125"/>
      <x v="125"/>
      <x v="105"/>
    </i>
    <i>
      <x v="126"/>
      <x v="126"/>
      <x v="106"/>
    </i>
    <i>
      <x v="127"/>
      <x v="127"/>
      <x v="107"/>
    </i>
    <i>
      <x v="128"/>
      <x v="128"/>
      <x v="107"/>
    </i>
    <i>
      <x v="129"/>
      <x v="129"/>
      <x v="108"/>
    </i>
    <i>
      <x v="130"/>
      <x v="130"/>
      <x v="109"/>
    </i>
    <i>
      <x v="131"/>
      <x v="131"/>
      <x v="109"/>
    </i>
    <i>
      <x v="132"/>
      <x v="132"/>
      <x v="110"/>
    </i>
    <i>
      <x v="133"/>
      <x v="133"/>
      <x v="111"/>
    </i>
    <i>
      <x v="134"/>
      <x v="134"/>
      <x v="112"/>
    </i>
    <i>
      <x v="135"/>
      <x v="135"/>
      <x v="113"/>
    </i>
    <i>
      <x v="136"/>
      <x v="136"/>
      <x v="114"/>
    </i>
    <i>
      <x v="137"/>
      <x v="137"/>
      <x v="115"/>
    </i>
    <i>
      <x v="138"/>
      <x v="138"/>
      <x v="116"/>
    </i>
    <i>
      <x v="139"/>
      <x v="139"/>
      <x v="117"/>
    </i>
    <i>
      <x v="140"/>
      <x v="140"/>
      <x v="118"/>
    </i>
    <i>
      <x v="141"/>
      <x v="141"/>
      <x v="119"/>
    </i>
    <i>
      <x v="142"/>
      <x v="142"/>
      <x v="120"/>
    </i>
    <i>
      <x v="143"/>
      <x v="143"/>
      <x v="121"/>
    </i>
    <i>
      <x v="144"/>
      <x v="144"/>
      <x v="122"/>
    </i>
    <i>
      <x v="145"/>
      <x v="145"/>
      <x v="123"/>
    </i>
    <i>
      <x v="146"/>
      <x v="146"/>
      <x v="124"/>
    </i>
    <i>
      <x v="147"/>
      <x v="147"/>
      <x v="125"/>
    </i>
    <i>
      <x v="148"/>
      <x v="148"/>
      <x v="50"/>
    </i>
    <i>
      <x v="149"/>
      <x v="149"/>
      <x v="126"/>
    </i>
    <i>
      <x v="150"/>
      <x v="150"/>
      <x v="127"/>
    </i>
    <i>
      <x v="151"/>
      <x v="151"/>
      <x v="128"/>
    </i>
    <i>
      <x v="152"/>
      <x v="152"/>
      <x v="129"/>
    </i>
    <i>
      <x v="153"/>
      <x v="153"/>
      <x v="130"/>
    </i>
    <i>
      <x v="154"/>
      <x v="154"/>
      <x v="131"/>
    </i>
    <i>
      <x v="155"/>
      <x v="155"/>
      <x v="132"/>
    </i>
    <i>
      <x v="156"/>
      <x v="156"/>
      <x v="133"/>
    </i>
    <i>
      <x v="157"/>
      <x v="157"/>
      <x v="134"/>
    </i>
    <i>
      <x v="158"/>
      <x v="158"/>
      <x v="135"/>
    </i>
    <i>
      <x v="159"/>
      <x v="159"/>
      <x v="136"/>
    </i>
    <i>
      <x v="160"/>
      <x v="160"/>
      <x v="132"/>
    </i>
    <i>
      <x v="161"/>
      <x v="161"/>
      <x v="137"/>
    </i>
    <i>
      <x v="162"/>
      <x v="162"/>
      <x v="138"/>
    </i>
    <i>
      <x v="163"/>
      <x v="163"/>
      <x v="139"/>
    </i>
    <i>
      <x v="164"/>
      <x v="164"/>
      <x v="138"/>
    </i>
    <i>
      <x v="165"/>
      <x v="165"/>
      <x v="140"/>
    </i>
    <i>
      <x v="166"/>
      <x v="166"/>
      <x v="141"/>
    </i>
    <i>
      <x v="167"/>
      <x v="167"/>
      <x v="142"/>
    </i>
    <i>
      <x v="168"/>
      <x v="168"/>
      <x v="143"/>
    </i>
    <i>
      <x v="169"/>
      <x v="169"/>
      <x v="142"/>
    </i>
    <i>
      <x v="170"/>
      <x v="170"/>
      <x v="144"/>
    </i>
    <i>
      <x v="171"/>
      <x v="171"/>
      <x v="145"/>
    </i>
    <i>
      <x v="172"/>
      <x v="172"/>
      <x v="146"/>
    </i>
    <i>
      <x v="173"/>
      <x v="173"/>
      <x v="147"/>
    </i>
    <i>
      <x v="174"/>
      <x v="174"/>
      <x v="148"/>
    </i>
    <i>
      <x v="175"/>
      <x v="175"/>
      <x v="149"/>
    </i>
    <i>
      <x v="176"/>
      <x v="176"/>
      <x v="150"/>
    </i>
    <i>
      <x v="177"/>
      <x v="177"/>
      <x v="151"/>
    </i>
    <i>
      <x v="178"/>
      <x v="178"/>
      <x v="152"/>
    </i>
    <i>
      <x v="179"/>
      <x v="179"/>
      <x v="153"/>
    </i>
    <i>
      <x v="180"/>
      <x v="180"/>
      <x v="154"/>
    </i>
    <i>
      <x v="181"/>
      <x v="181"/>
      <x v="155"/>
    </i>
    <i>
      <x v="182"/>
      <x v="182"/>
      <x v="156"/>
    </i>
    <i>
      <x v="183"/>
      <x v="183"/>
      <x v="157"/>
    </i>
    <i>
      <x v="184"/>
      <x v="184"/>
      <x v="158"/>
    </i>
    <i>
      <x v="185"/>
      <x v="185"/>
      <x v="159"/>
    </i>
    <i>
      <x v="186"/>
      <x v="186"/>
      <x v="160"/>
    </i>
    <i>
      <x v="187"/>
      <x v="187"/>
      <x v="161"/>
    </i>
    <i>
      <x v="188"/>
      <x v="188"/>
      <x v="162"/>
    </i>
    <i>
      <x v="189"/>
      <x v="189"/>
      <x v="163"/>
    </i>
    <i>
      <x v="190"/>
      <x v="190"/>
      <x v="164"/>
    </i>
    <i>
      <x v="191"/>
      <x v="191"/>
      <x v="165"/>
    </i>
    <i>
      <x v="192"/>
      <x v="192"/>
      <x v="166"/>
    </i>
    <i>
      <x v="193"/>
      <x v="193"/>
      <x v="167"/>
    </i>
    <i>
      <x v="194"/>
      <x v="194"/>
      <x v="168"/>
    </i>
    <i>
      <x v="195"/>
      <x v="195"/>
      <x v="169"/>
    </i>
    <i>
      <x v="196"/>
      <x v="196"/>
      <x v="170"/>
    </i>
    <i>
      <x v="197"/>
      <x v="197"/>
      <x v="171"/>
    </i>
    <i>
      <x v="198"/>
      <x v="198"/>
      <x v="172"/>
    </i>
    <i>
      <x v="199"/>
      <x v="199"/>
      <x v="173"/>
    </i>
    <i>
      <x v="200"/>
      <x v="200"/>
      <x v="174"/>
    </i>
    <i>
      <x v="201"/>
      <x v="201"/>
      <x v="175"/>
    </i>
    <i>
      <x v="202"/>
      <x v="202"/>
      <x v="176"/>
    </i>
    <i>
      <x v="203"/>
      <x v="203"/>
      <x v="177"/>
    </i>
    <i>
      <x v="204"/>
      <x v="204"/>
      <x v="178"/>
    </i>
    <i>
      <x v="205"/>
      <x v="205"/>
      <x v="179"/>
    </i>
    <i>
      <x v="206"/>
      <x v="206"/>
      <x v="180"/>
    </i>
    <i>
      <x v="207"/>
      <x v="207"/>
      <x v="181"/>
    </i>
    <i>
      <x v="208"/>
      <x v="208"/>
      <x v="182"/>
    </i>
    <i>
      <x v="209"/>
      <x v="209"/>
      <x v="183"/>
    </i>
    <i>
      <x v="210"/>
      <x v="210"/>
      <x v="184"/>
    </i>
    <i>
      <x v="211"/>
      <x v="211"/>
      <x v="185"/>
    </i>
    <i>
      <x v="212"/>
      <x v="212"/>
      <x v="186"/>
    </i>
    <i>
      <x v="213"/>
      <x v="213"/>
      <x v="187"/>
    </i>
    <i>
      <x v="214"/>
      <x v="214"/>
      <x v="188"/>
    </i>
    <i>
      <x v="215"/>
      <x v="215"/>
      <x v="189"/>
    </i>
    <i>
      <x v="216"/>
      <x v="216"/>
      <x v="190"/>
    </i>
    <i>
      <x v="217"/>
      <x v="217"/>
      <x v="191"/>
    </i>
    <i>
      <x v="218"/>
      <x v="218"/>
      <x v="192"/>
    </i>
    <i>
      <x v="219"/>
      <x v="219"/>
      <x v="193"/>
    </i>
    <i>
      <x v="220"/>
      <x v="220"/>
      <x v="194"/>
    </i>
    <i>
      <x v="221"/>
      <x v="221"/>
      <x v="195"/>
    </i>
    <i>
      <x v="222"/>
      <x v="222"/>
      <x v="196"/>
    </i>
    <i>
      <x v="223"/>
      <x v="223"/>
      <x v="197"/>
    </i>
    <i>
      <x v="224"/>
      <x v="224"/>
      <x v="198"/>
    </i>
    <i>
      <x v="225"/>
      <x v="225"/>
      <x v="199"/>
    </i>
    <i>
      <x v="226"/>
      <x v="226"/>
      <x v="200"/>
    </i>
    <i>
      <x v="227"/>
      <x v="227"/>
      <x v="201"/>
    </i>
    <i>
      <x v="228"/>
      <x v="228"/>
      <x v="202"/>
    </i>
    <i>
      <x v="229"/>
      <x v="229"/>
      <x v="203"/>
    </i>
    <i>
      <x v="230"/>
      <x v="230"/>
      <x v="204"/>
    </i>
    <i>
      <x v="231"/>
      <x v="231"/>
      <x v="205"/>
    </i>
    <i>
      <x v="232"/>
      <x v="232"/>
      <x v="206"/>
    </i>
    <i>
      <x v="233"/>
      <x v="233"/>
      <x v="207"/>
    </i>
    <i>
      <x v="234"/>
      <x v="234"/>
      <x v="208"/>
    </i>
    <i>
      <x v="235"/>
      <x v="235"/>
      <x v="209"/>
    </i>
    <i>
      <x v="236"/>
      <x v="236"/>
      <x v="210"/>
    </i>
    <i>
      <x v="237"/>
      <x v="237"/>
      <x v="211"/>
    </i>
    <i>
      <x v="238"/>
      <x v="238"/>
      <x v="212"/>
    </i>
    <i>
      <x v="239"/>
      <x v="239"/>
      <x v="213"/>
    </i>
    <i>
      <x v="240"/>
      <x v="240"/>
      <x v="214"/>
    </i>
    <i>
      <x v="241"/>
      <x v="241"/>
      <x v="215"/>
    </i>
    <i>
      <x v="242"/>
      <x v="242"/>
      <x v="216"/>
    </i>
    <i>
      <x v="243"/>
      <x v="243"/>
      <x v="217"/>
    </i>
    <i>
      <x v="244"/>
      <x v="244"/>
      <x v="218"/>
    </i>
    <i>
      <x v="245"/>
      <x v="245"/>
      <x v="219"/>
    </i>
    <i>
      <x v="246"/>
      <x v="246"/>
      <x v="220"/>
    </i>
    <i>
      <x v="247"/>
      <x v="247"/>
      <x v="221"/>
    </i>
    <i>
      <x v="248"/>
      <x v="248"/>
      <x v="222"/>
    </i>
    <i>
      <x v="249"/>
      <x v="249"/>
      <x v="223"/>
    </i>
    <i>
      <x v="250"/>
      <x v="250"/>
      <x v="224"/>
    </i>
    <i>
      <x v="251"/>
      <x v="251"/>
      <x v="225"/>
    </i>
    <i>
      <x v="252"/>
      <x v="252"/>
      <x v="226"/>
    </i>
    <i>
      <x v="253"/>
      <x v="253"/>
      <x v="227"/>
    </i>
    <i>
      <x v="254"/>
      <x v="254"/>
      <x v="228"/>
    </i>
    <i>
      <x v="255"/>
      <x v="255"/>
      <x v="229"/>
    </i>
    <i>
      <x v="256"/>
      <x v="256"/>
      <x v="230"/>
    </i>
    <i>
      <x v="257"/>
      <x v="257"/>
      <x v="231"/>
    </i>
    <i>
      <x v="258"/>
      <x v="258"/>
      <x v="232"/>
    </i>
    <i>
      <x v="259"/>
      <x v="259"/>
      <x v="233"/>
    </i>
    <i>
      <x v="260"/>
      <x v="260"/>
      <x v="234"/>
    </i>
    <i>
      <x v="261"/>
      <x v="261"/>
      <x v="235"/>
    </i>
    <i>
      <x v="262"/>
      <x v="262"/>
      <x v="236"/>
    </i>
    <i>
      <x v="263"/>
      <x v="263"/>
      <x v="237"/>
    </i>
    <i>
      <x v="264"/>
      <x v="264"/>
      <x v="238"/>
    </i>
    <i>
      <x v="265"/>
      <x v="265"/>
      <x v="239"/>
    </i>
    <i>
      <x v="266"/>
      <x v="266"/>
      <x v="234"/>
    </i>
    <i>
      <x v="267"/>
      <x v="267"/>
      <x v="240"/>
    </i>
    <i>
      <x v="268"/>
      <x v="268"/>
      <x v="241"/>
    </i>
    <i>
      <x v="269"/>
      <x v="269"/>
      <x v="242"/>
    </i>
    <i>
      <x v="270"/>
      <x v="270"/>
      <x v="243"/>
    </i>
    <i>
      <x v="271"/>
      <x v="271"/>
      <x v="244"/>
    </i>
    <i>
      <x v="272"/>
      <x v="272"/>
      <x v="245"/>
    </i>
    <i>
      <x v="273"/>
      <x v="273"/>
      <x v="246"/>
    </i>
    <i>
      <x v="274"/>
      <x v="274"/>
      <x v="247"/>
    </i>
    <i>
      <x v="275"/>
      <x v="275"/>
      <x v="248"/>
    </i>
    <i>
      <x v="276"/>
      <x v="276"/>
      <x v="249"/>
    </i>
    <i>
      <x v="277"/>
      <x v="277"/>
      <x v="250"/>
    </i>
    <i>
      <x v="278"/>
      <x v="278"/>
      <x v="251"/>
    </i>
    <i>
      <x v="279"/>
      <x v="279"/>
      <x v="252"/>
    </i>
    <i>
      <x v="280"/>
      <x v="280"/>
      <x v="253"/>
    </i>
    <i>
      <x v="281"/>
      <x v="281"/>
      <x v="254"/>
    </i>
    <i>
      <x v="282"/>
      <x v="282"/>
      <x v="255"/>
    </i>
    <i>
      <x v="283"/>
      <x v="283"/>
      <x v="256"/>
    </i>
    <i>
      <x v="284"/>
      <x v="284"/>
      <x v="257"/>
    </i>
    <i>
      <x v="285"/>
      <x v="285"/>
      <x v="258"/>
    </i>
    <i>
      <x v="286"/>
      <x v="286"/>
      <x v="259"/>
    </i>
    <i>
      <x v="287"/>
      <x v="287"/>
      <x v="260"/>
    </i>
    <i>
      <x v="288"/>
      <x v="288"/>
      <x v="261"/>
    </i>
    <i>
      <x v="289"/>
      <x v="289"/>
      <x v="262"/>
    </i>
    <i>
      <x v="290"/>
      <x v="290"/>
      <x v="263"/>
    </i>
    <i>
      <x v="291"/>
      <x v="291"/>
      <x v="264"/>
    </i>
    <i>
      <x v="292"/>
      <x v="292"/>
      <x v="265"/>
    </i>
    <i>
      <x v="293"/>
      <x v="293"/>
      <x v="266"/>
    </i>
    <i>
      <x v="294"/>
      <x v="294"/>
      <x v="267"/>
    </i>
    <i>
      <x v="295"/>
      <x v="295"/>
      <x v="268"/>
    </i>
    <i>
      <x v="296"/>
      <x v="296"/>
      <x v="269"/>
    </i>
    <i>
      <x v="297"/>
      <x v="297"/>
      <x v="270"/>
    </i>
    <i>
      <x v="298"/>
      <x v="298"/>
      <x v="271"/>
    </i>
    <i>
      <x v="299"/>
      <x v="299"/>
      <x v="272"/>
    </i>
    <i>
      <x v="300"/>
      <x v="300"/>
      <x v="273"/>
    </i>
    <i>
      <x v="301"/>
      <x v="301"/>
      <x v="263"/>
    </i>
    <i>
      <x v="302"/>
      <x v="302"/>
      <x v="274"/>
    </i>
    <i>
      <x v="303"/>
      <x v="303"/>
      <x v="275"/>
    </i>
    <i>
      <x v="304"/>
      <x v="304"/>
      <x v="276"/>
    </i>
    <i>
      <x v="305"/>
      <x v="305"/>
      <x v="277"/>
    </i>
    <i>
      <x v="306"/>
      <x v="306"/>
      <x v="278"/>
    </i>
    <i>
      <x v="307"/>
      <x v="307"/>
      <x v="279"/>
    </i>
    <i>
      <x v="308"/>
      <x v="308"/>
      <x v="280"/>
    </i>
    <i>
      <x v="309"/>
      <x v="309"/>
      <x v="262"/>
    </i>
    <i>
      <x v="310"/>
      <x v="310"/>
      <x v="281"/>
    </i>
    <i>
      <x v="311"/>
      <x v="311"/>
      <x v="281"/>
    </i>
    <i>
      <x v="312"/>
      <x v="312"/>
      <x v="281"/>
    </i>
    <i>
      <x v="313"/>
      <x v="313"/>
      <x v="281"/>
    </i>
    <i>
      <x v="314"/>
      <x v="314"/>
      <x v="282"/>
    </i>
    <i>
      <x v="315"/>
      <x v="315"/>
      <x v="281"/>
    </i>
    <i>
      <x v="316"/>
      <x v="316"/>
      <x v="281"/>
    </i>
    <i>
      <x v="317"/>
      <x v="317"/>
      <x v="281"/>
    </i>
    <i>
      <x v="318"/>
      <x v="318"/>
      <x v="281"/>
    </i>
    <i>
      <x v="319"/>
      <x v="319"/>
      <x v="281"/>
    </i>
    <i>
      <x v="320"/>
      <x v="320"/>
      <x v="52"/>
    </i>
    <i>
      <x v="321"/>
      <x v="321"/>
      <x v="52"/>
    </i>
    <i>
      <x v="322"/>
      <x v="322"/>
      <x v="283"/>
    </i>
    <i>
      <x v="323"/>
      <x v="323"/>
      <x v="284"/>
    </i>
    <i>
      <x v="324"/>
      <x v="324"/>
      <x v="285"/>
    </i>
    <i>
      <x v="325"/>
      <x v="325"/>
      <x v="286"/>
    </i>
    <i>
      <x v="326"/>
      <x v="326"/>
      <x v="287"/>
    </i>
    <i>
      <x v="327"/>
      <x v="327"/>
      <x v="288"/>
    </i>
    <i>
      <x v="328"/>
      <x v="328"/>
      <x v="289"/>
    </i>
    <i>
      <x v="329"/>
      <x v="329"/>
      <x v="290"/>
    </i>
    <i>
      <x v="330"/>
      <x v="330"/>
      <x v="291"/>
    </i>
    <i>
      <x v="331"/>
      <x v="331"/>
      <x v="292"/>
    </i>
    <i>
      <x v="332"/>
      <x v="332"/>
      <x v="293"/>
    </i>
    <i>
      <x v="333"/>
      <x v="333"/>
      <x v="294"/>
    </i>
    <i>
      <x v="334"/>
      <x v="334"/>
      <x v="254"/>
    </i>
    <i>
      <x v="335"/>
      <x v="335"/>
      <x v="281"/>
    </i>
    <i>
      <x v="336"/>
      <x v="336"/>
      <x v="295"/>
    </i>
    <i>
      <x v="337"/>
      <x v="337"/>
      <x v="296"/>
    </i>
    <i>
      <x v="338"/>
      <x v="338"/>
      <x v="297"/>
    </i>
    <i>
      <x v="339"/>
      <x v="339"/>
      <x v="281"/>
    </i>
    <i>
      <x v="340"/>
      <x v="340"/>
      <x v="45"/>
    </i>
    <i>
      <x v="341"/>
      <x v="341"/>
      <x v="48"/>
    </i>
    <i>
      <x v="342"/>
      <x v="342"/>
      <x v="298"/>
    </i>
    <i>
      <x v="343"/>
      <x v="343"/>
      <x v="52"/>
    </i>
    <i>
      <x v="344"/>
      <x v="344"/>
      <x v="299"/>
    </i>
    <i>
      <x v="345"/>
      <x v="345"/>
      <x v="300"/>
    </i>
    <i>
      <x v="346"/>
      <x v="346"/>
      <x v="301"/>
    </i>
    <i>
      <x v="347"/>
      <x v="347"/>
      <x v="302"/>
    </i>
    <i>
      <x v="348"/>
      <x v="348"/>
      <x v="303"/>
    </i>
    <i>
      <x v="349"/>
      <x v="349"/>
      <x v="304"/>
    </i>
    <i>
      <x v="350"/>
      <x v="350"/>
      <x v="305"/>
    </i>
    <i>
      <x v="351"/>
      <x v="351"/>
      <x v="306"/>
    </i>
    <i>
      <x v="352"/>
      <x v="352"/>
      <x v="108"/>
    </i>
    <i>
      <x v="353"/>
      <x v="353"/>
      <x v="307"/>
    </i>
    <i>
      <x v="354"/>
      <x v="354"/>
      <x v="308"/>
    </i>
    <i>
      <x v="355"/>
      <x v="355"/>
      <x v="309"/>
    </i>
    <i>
      <x v="356"/>
      <x v="356"/>
      <x v="238"/>
    </i>
    <i>
      <x v="357"/>
      <x v="357"/>
      <x v="310"/>
    </i>
    <i>
      <x v="358"/>
      <x v="358"/>
      <x v="311"/>
    </i>
    <i>
      <x v="359"/>
      <x v="359"/>
      <x v="312"/>
    </i>
    <i>
      <x v="360"/>
      <x v="360"/>
      <x v="313"/>
    </i>
    <i>
      <x v="361"/>
      <x v="361"/>
      <x v="314"/>
    </i>
    <i>
      <x v="362"/>
      <x v="362"/>
      <x v="315"/>
    </i>
    <i>
      <x v="363"/>
      <x v="363"/>
      <x v="316"/>
    </i>
    <i>
      <x v="364"/>
      <x v="364"/>
      <x v="317"/>
    </i>
    <i>
      <x v="365"/>
      <x v="365"/>
      <x v="318"/>
    </i>
    <i>
      <x v="366"/>
      <x v="366"/>
      <x v="319"/>
    </i>
    <i>
      <x v="367"/>
      <x v="367"/>
      <x v="320"/>
    </i>
    <i>
      <x v="368"/>
      <x v="368"/>
      <x v="321"/>
    </i>
    <i>
      <x v="369"/>
      <x v="369"/>
      <x v="322"/>
    </i>
    <i>
      <x v="370"/>
      <x v="370"/>
      <x v="323"/>
    </i>
    <i>
      <x v="371"/>
      <x v="371"/>
      <x v="305"/>
    </i>
    <i>
      <x v="372"/>
      <x v="372"/>
      <x v="324"/>
    </i>
    <i>
      <x v="373"/>
      <x v="373"/>
      <x v="325"/>
    </i>
    <i>
      <x v="374"/>
      <x v="374"/>
      <x v="326"/>
    </i>
    <i>
      <x v="375"/>
      <x v="375"/>
      <x v="327"/>
    </i>
    <i>
      <x v="376"/>
      <x v="376"/>
      <x v="328"/>
    </i>
    <i>
      <x v="377"/>
      <x v="377"/>
      <x v="329"/>
    </i>
    <i>
      <x v="378"/>
      <x v="378"/>
      <x v="330"/>
    </i>
    <i>
      <x v="379"/>
      <x v="379"/>
      <x v="331"/>
    </i>
    <i>
      <x v="380"/>
      <x v="380"/>
      <x v="331"/>
    </i>
    <i>
      <x v="381"/>
      <x v="381"/>
      <x v="281"/>
    </i>
    <i>
      <x v="382"/>
      <x v="382"/>
      <x v="281"/>
    </i>
    <i>
      <x v="383"/>
      <x v="383"/>
      <x v="281"/>
    </i>
    <i>
      <x v="384"/>
      <x v="384"/>
      <x v="248"/>
    </i>
    <i>
      <x v="385"/>
      <x v="385"/>
      <x v="332"/>
    </i>
    <i>
      <x v="386"/>
      <x v="386"/>
      <x v="256"/>
    </i>
    <i>
      <x v="387"/>
      <x v="387"/>
      <x v="333"/>
    </i>
    <i>
      <x v="388"/>
      <x v="388"/>
      <x v="334"/>
    </i>
    <i>
      <x v="389"/>
      <x v="389"/>
      <x v="335"/>
    </i>
    <i>
      <x v="390"/>
      <x v="390"/>
      <x v="311"/>
    </i>
    <i>
      <x v="391"/>
      <x v="391"/>
      <x v="336"/>
    </i>
    <i>
      <x v="392"/>
      <x v="392"/>
      <x v="337"/>
    </i>
    <i>
      <x v="393"/>
      <x v="393"/>
      <x v="338"/>
    </i>
    <i>
      <x v="394"/>
      <x v="394"/>
      <x v="339"/>
    </i>
    <i>
      <x v="395"/>
      <x v="395"/>
      <x v="340"/>
    </i>
    <i>
      <x v="396"/>
      <x v="396"/>
      <x v="341"/>
    </i>
    <i>
      <x v="397"/>
      <x v="397"/>
      <x v="342"/>
    </i>
    <i>
      <x v="398"/>
      <x v="398"/>
      <x v="343"/>
    </i>
    <i>
      <x v="399"/>
      <x v="399"/>
      <x v="344"/>
    </i>
    <i>
      <x v="400"/>
      <x v="400"/>
      <x v="345"/>
    </i>
    <i>
      <x v="401"/>
      <x v="401"/>
      <x v="346"/>
    </i>
    <i>
      <x v="402"/>
      <x v="402"/>
      <x v="347"/>
    </i>
    <i>
      <x v="403"/>
      <x v="403"/>
      <x v="348"/>
    </i>
    <i>
      <x v="404"/>
      <x v="404"/>
      <x v="349"/>
    </i>
    <i>
      <x v="405"/>
      <x v="405"/>
      <x v="350"/>
    </i>
    <i>
      <x v="406"/>
      <x v="406"/>
      <x v="351"/>
    </i>
    <i>
      <x v="407"/>
      <x v="407"/>
      <x v="352"/>
    </i>
    <i>
      <x v="408"/>
      <x v="408"/>
      <x v="353"/>
    </i>
    <i>
      <x v="409"/>
      <x v="409"/>
      <x v="354"/>
    </i>
    <i>
      <x v="410"/>
      <x v="410"/>
      <x v="355"/>
    </i>
    <i>
      <x v="411"/>
      <x v="411"/>
      <x v="356"/>
    </i>
    <i>
      <x v="412"/>
      <x v="412"/>
      <x v="357"/>
    </i>
    <i>
      <x v="413"/>
      <x v="413"/>
      <x v="358"/>
    </i>
    <i>
      <x v="414"/>
      <x v="414"/>
      <x v="359"/>
    </i>
    <i>
      <x v="415"/>
      <x v="415"/>
      <x v="360"/>
    </i>
    <i>
      <x v="416"/>
      <x v="416"/>
      <x v="361"/>
    </i>
    <i>
      <x v="417"/>
      <x v="417"/>
      <x v="362"/>
    </i>
    <i>
      <x v="418"/>
      <x v="418"/>
      <x v="363"/>
    </i>
    <i>
      <x v="419"/>
      <x v="419"/>
      <x v="271"/>
    </i>
    <i>
      <x v="420"/>
      <x v="420"/>
      <x v="281"/>
    </i>
    <i>
      <x v="421"/>
      <x v="421"/>
      <x v="281"/>
    </i>
    <i>
      <x v="422"/>
      <x v="422"/>
      <x v="364"/>
    </i>
    <i>
      <x v="423"/>
      <x v="423"/>
      <x v="359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3" hier="10" name="[Calendar_].[year].&amp;[2026]" cap="2026"/>
    <pageField fld="1" hier="21" name="[Orenda_plan_fact].[groupCost].&amp;[Виручка]" cap="Виручка"/>
    <pageField fld="4" hier="36" name="[Store_directory].[Вид МВВ].[All]" cap="All"/>
    <pageField fld="8" hier="37" name="[Store_directory].[Власність].[All]" cap="All"/>
  </pageFields>
  <dataFields count="1">
    <dataField fld="0" baseField="0" baseItem="0"/>
  </dataFields>
  <formats count="22">
    <format dxfId="175">
      <pivotArea outline="0" fieldPosition="0">
        <references count="3">
          <reference field="5" count="1" selected="0">
            <x v="289"/>
          </reference>
          <reference field="6" count="1" selected="0">
            <x v="289"/>
          </reference>
          <reference field="7" count="1" selected="0">
            <x v="281"/>
          </reference>
        </references>
      </pivotArea>
    </format>
    <format dxfId="174">
      <pivotArea dataOnly="0" labelOnly="1" outline="0" fieldPosition="0">
        <references count="1">
          <reference field="5" count="1">
            <x v="289"/>
          </reference>
        </references>
      </pivotArea>
    </format>
    <format dxfId="173">
      <pivotArea dataOnly="0" labelOnly="1" outline="0" fieldPosition="0">
        <references count="2">
          <reference field="5" count="1" selected="0">
            <x v="289"/>
          </reference>
          <reference field="6" count="1">
            <x v="289"/>
          </reference>
        </references>
      </pivotArea>
    </format>
    <format dxfId="172">
      <pivotArea dataOnly="0" labelOnly="1" outline="0" fieldPosition="0">
        <references count="3">
          <reference field="5" count="1" selected="0">
            <x v="289"/>
          </reference>
          <reference field="6" count="1" selected="0">
            <x v="289"/>
          </reference>
          <reference field="7" count="1">
            <x v="281"/>
          </reference>
        </references>
      </pivotArea>
    </format>
    <format dxfId="171">
      <pivotArea outline="0" fieldPosition="0">
        <references count="3">
          <reference field="5" count="2" selected="0">
            <x v="309"/>
            <x v="311"/>
          </reference>
          <reference field="6" count="2" selected="0">
            <x v="309"/>
            <x v="311"/>
          </reference>
          <reference field="7" count="1" selected="0">
            <x v="281"/>
          </reference>
        </references>
      </pivotArea>
    </format>
    <format dxfId="170">
      <pivotArea dataOnly="0" labelOnly="1" outline="0" fieldPosition="0">
        <references count="1">
          <reference field="5" count="2">
            <x v="309"/>
            <x v="311"/>
          </reference>
        </references>
      </pivotArea>
    </format>
    <format dxfId="169">
      <pivotArea dataOnly="0" labelOnly="1" outline="0" fieldPosition="0">
        <references count="2">
          <reference field="5" count="1" selected="0">
            <x v="309"/>
          </reference>
          <reference field="6" count="1">
            <x v="309"/>
          </reference>
        </references>
      </pivotArea>
    </format>
    <format dxfId="168">
      <pivotArea dataOnly="0" labelOnly="1" outline="0" fieldPosition="0">
        <references count="2">
          <reference field="5" count="1" selected="0">
            <x v="311"/>
          </reference>
          <reference field="6" count="1">
            <x v="311"/>
          </reference>
        </references>
      </pivotArea>
    </format>
    <format dxfId="167">
      <pivotArea dataOnly="0" labelOnly="1" outline="0" fieldPosition="0">
        <references count="3">
          <reference field="5" count="1" selected="0">
            <x v="309"/>
          </reference>
          <reference field="6" count="1" selected="0">
            <x v="309"/>
          </reference>
          <reference field="7" count="1">
            <x v="281"/>
          </reference>
        </references>
      </pivotArea>
    </format>
    <format dxfId="166">
      <pivotArea dataOnly="0" labelOnly="1" outline="0" fieldPosition="0">
        <references count="3">
          <reference field="5" count="1" selected="0">
            <x v="311"/>
          </reference>
          <reference field="6" count="1" selected="0">
            <x v="311"/>
          </reference>
          <reference field="7" count="1">
            <x v="281"/>
          </reference>
        </references>
      </pivotArea>
    </format>
    <format dxfId="165">
      <pivotArea outline="0" fieldPosition="0">
        <references count="3">
          <reference field="5" count="1" selected="0">
            <x v="335"/>
          </reference>
          <reference field="6" count="1" selected="0">
            <x v="335"/>
          </reference>
          <reference field="7" count="1" selected="0">
            <x v="281"/>
          </reference>
        </references>
      </pivotArea>
    </format>
    <format dxfId="164">
      <pivotArea dataOnly="0" labelOnly="1" outline="0" fieldPosition="0">
        <references count="1">
          <reference field="5" count="1">
            <x v="335"/>
          </reference>
        </references>
      </pivotArea>
    </format>
    <format dxfId="163">
      <pivotArea dataOnly="0" labelOnly="1" outline="0" fieldPosition="0">
        <references count="2">
          <reference field="5" count="1" selected="0">
            <x v="335"/>
          </reference>
          <reference field="6" count="1">
            <x v="335"/>
          </reference>
        </references>
      </pivotArea>
    </format>
    <format dxfId="162">
      <pivotArea dataOnly="0" labelOnly="1" outline="0" fieldPosition="0">
        <references count="3">
          <reference field="5" count="1" selected="0">
            <x v="335"/>
          </reference>
          <reference field="6" count="1" selected="0">
            <x v="335"/>
          </reference>
          <reference field="7" count="1">
            <x v="281"/>
          </reference>
        </references>
      </pivotArea>
    </format>
    <format dxfId="161">
      <pivotArea outline="0" fieldPosition="0">
        <references count="3">
          <reference field="5" count="1" selected="0">
            <x v="339"/>
          </reference>
          <reference field="6" count="1" selected="0">
            <x v="339"/>
          </reference>
          <reference field="7" count="1" selected="0">
            <x v="281"/>
          </reference>
        </references>
      </pivotArea>
    </format>
    <format dxfId="160">
      <pivotArea dataOnly="0" labelOnly="1" outline="0" fieldPosition="0">
        <references count="1">
          <reference field="5" count="1">
            <x v="339"/>
          </reference>
        </references>
      </pivotArea>
    </format>
    <format dxfId="159">
      <pivotArea dataOnly="0" labelOnly="1" outline="0" fieldPosition="0">
        <references count="2">
          <reference field="5" count="1" selected="0">
            <x v="339"/>
          </reference>
          <reference field="6" count="1">
            <x v="339"/>
          </reference>
        </references>
      </pivotArea>
    </format>
    <format dxfId="158">
      <pivotArea dataOnly="0" labelOnly="1" outline="0" fieldPosition="0">
        <references count="3">
          <reference field="5" count="1" selected="0">
            <x v="339"/>
          </reference>
          <reference field="6" count="1" selected="0">
            <x v="339"/>
          </reference>
          <reference field="7" count="1">
            <x v="281"/>
          </reference>
        </references>
      </pivotArea>
    </format>
    <format dxfId="157">
      <pivotArea outline="0" fieldPosition="0">
        <references count="3">
          <reference field="5" count="1" selected="0">
            <x v="359"/>
          </reference>
          <reference field="6" count="1" selected="0">
            <x v="359"/>
          </reference>
          <reference field="7" count="1" selected="0">
            <x v="281"/>
          </reference>
        </references>
      </pivotArea>
    </format>
    <format dxfId="156">
      <pivotArea dataOnly="0" labelOnly="1" outline="0" fieldPosition="0">
        <references count="1">
          <reference field="5" count="1">
            <x v="359"/>
          </reference>
        </references>
      </pivotArea>
    </format>
    <format dxfId="155">
      <pivotArea dataOnly="0" labelOnly="1" outline="0" fieldPosition="0">
        <references count="2">
          <reference field="5" count="1" selected="0">
            <x v="359"/>
          </reference>
          <reference field="6" count="1">
            <x v="359"/>
          </reference>
        </references>
      </pivotArea>
    </format>
    <format dxfId="154">
      <pivotArea dataOnly="0" labelOnly="1" outline="0" fieldPosition="0">
        <references count="3">
          <reference field="5" count="1" selected="0">
            <x v="359"/>
          </reference>
          <reference field="6" count="1" selected="0">
            <x v="359"/>
          </reference>
          <reference field="7" count="1">
            <x v="281"/>
          </reference>
        </references>
      </pivotArea>
    </format>
  </formats>
  <pivotHierarchies count="8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fin_percent_rent].[year].&amp;[2026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Orenda_plan_fact].[groupCost].&amp;[Виручк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2"/>
    <rowHierarchyUsage hierarchyUsage="44"/>
    <rowHierarchyUsage hierarchyUsage="38"/>
  </rowHierarchiesUsage>
  <colHierarchiesUsage count="1">
    <colHierarchyUsage hierarchyUsage="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6" indent="0" compact="0" compactData="0" multipleFieldFilters="0" fieldListSortAscending="1">
  <location ref="A6:J257" firstHeaderRow="1" firstDataRow="2" firstDataCol="3" rowPageCount="4" colPageCount="1"/>
  <pivotFields count="10">
    <pivotField dataField="1" compact="0" outline="0" showAll="0"/>
    <pivotField axis="axisPage" compact="0" allDrilled="1" outline="0" showAll="0" dataSourceSort="1" defaultAttributeDrillState="1">
      <items count="1">
        <item t="default"/>
      </items>
    </pivotField>
    <pivotField compact="0" allDrilled="1" outline="0" showAll="0" dataSourceSort="1" defaultAttributeDrillState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Row" compact="0" allDrilled="1" outline="0" showAll="0" dataSourceSort="1" defaultSubtotal="0" defaultAttributeDrillState="1">
      <items count="2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</items>
    </pivotField>
    <pivotField axis="axisRow" compact="0" allDrilled="1" outline="0" showAll="0" dataSourceSort="1" defaultSubtotal="0" defaultAttributeDrillState="1">
      <items count="2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</items>
    </pivotField>
    <pivotField axis="axisRow" compact="0" allDrilled="1" outline="0" showAll="0" dataSourceSort="1" defaultAttributeDrillState="1">
      <items count="2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x="218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3">
    <field x="5"/>
    <field x="6"/>
    <field x="7"/>
  </rowFields>
  <rowItems count="250">
    <i>
      <x/>
      <x/>
      <x/>
    </i>
    <i>
      <x v="1"/>
      <x v="1"/>
      <x v="1"/>
    </i>
    <i>
      <x v="2"/>
      <x v="2"/>
      <x v="2"/>
    </i>
    <i>
      <x v="3"/>
      <x v="3"/>
      <x v="3"/>
    </i>
    <i>
      <x v="4"/>
      <x v="4"/>
      <x v="4"/>
    </i>
    <i>
      <x v="5"/>
      <x v="5"/>
      <x v="5"/>
    </i>
    <i>
      <x v="6"/>
      <x v="6"/>
      <x v="6"/>
    </i>
    <i>
      <x v="7"/>
      <x v="7"/>
      <x v="7"/>
    </i>
    <i>
      <x v="8"/>
      <x v="8"/>
      <x v="8"/>
    </i>
    <i>
      <x v="9"/>
      <x v="9"/>
      <x v="9"/>
    </i>
    <i>
      <x v="10"/>
      <x v="10"/>
      <x v="10"/>
    </i>
    <i>
      <x v="11"/>
      <x v="11"/>
      <x v="11"/>
    </i>
    <i>
      <x v="12"/>
      <x v="12"/>
      <x v="12"/>
    </i>
    <i>
      <x v="13"/>
      <x v="13"/>
      <x v="13"/>
    </i>
    <i>
      <x v="14"/>
      <x v="14"/>
      <x v="14"/>
    </i>
    <i>
      <x v="15"/>
      <x v="15"/>
      <x v="14"/>
    </i>
    <i>
      <x v="16"/>
      <x v="16"/>
      <x v="15"/>
    </i>
    <i>
      <x v="17"/>
      <x v="17"/>
      <x v="14"/>
    </i>
    <i>
      <x v="18"/>
      <x v="18"/>
      <x v="16"/>
    </i>
    <i>
      <x v="19"/>
      <x v="19"/>
      <x v="14"/>
    </i>
    <i>
      <x v="20"/>
      <x v="20"/>
      <x v="17"/>
    </i>
    <i>
      <x v="21"/>
      <x v="21"/>
      <x v="18"/>
    </i>
    <i>
      <x v="22"/>
      <x v="22"/>
      <x v="14"/>
    </i>
    <i>
      <x v="23"/>
      <x v="23"/>
      <x v="14"/>
    </i>
    <i>
      <x v="24"/>
      <x v="24"/>
      <x v="14"/>
    </i>
    <i>
      <x v="25"/>
      <x v="25"/>
      <x v="14"/>
    </i>
    <i>
      <x v="26"/>
      <x v="26"/>
      <x v="14"/>
    </i>
    <i>
      <x v="27"/>
      <x v="27"/>
      <x v="14"/>
    </i>
    <i>
      <x v="28"/>
      <x v="28"/>
      <x v="14"/>
    </i>
    <i>
      <x v="29"/>
      <x v="29"/>
      <x v="14"/>
    </i>
    <i>
      <x v="30"/>
      <x v="30"/>
      <x v="14"/>
    </i>
    <i>
      <x v="31"/>
      <x v="31"/>
      <x v="14"/>
    </i>
    <i>
      <x v="32"/>
      <x v="32"/>
      <x v="14"/>
    </i>
    <i>
      <x v="33"/>
      <x v="33"/>
      <x v="14"/>
    </i>
    <i>
      <x v="34"/>
      <x v="34"/>
      <x v="19"/>
    </i>
    <i>
      <x v="35"/>
      <x v="35"/>
      <x v="20"/>
    </i>
    <i>
      <x v="36"/>
      <x v="36"/>
      <x v="21"/>
    </i>
    <i>
      <x v="37"/>
      <x v="37"/>
      <x v="22"/>
    </i>
    <i>
      <x v="38"/>
      <x v="38"/>
      <x v="23"/>
    </i>
    <i>
      <x v="39"/>
      <x v="39"/>
      <x v="24"/>
    </i>
    <i>
      <x v="40"/>
      <x v="40"/>
      <x v="25"/>
    </i>
    <i>
      <x v="41"/>
      <x v="41"/>
      <x v="26"/>
    </i>
    <i>
      <x v="42"/>
      <x v="42"/>
      <x v="27"/>
    </i>
    <i>
      <x v="43"/>
      <x v="43"/>
      <x v="28"/>
    </i>
    <i>
      <x v="44"/>
      <x v="44"/>
      <x v="29"/>
    </i>
    <i>
      <x v="45"/>
      <x v="45"/>
      <x v="30"/>
    </i>
    <i>
      <x v="46"/>
      <x v="46"/>
      <x v="31"/>
    </i>
    <i>
      <x v="47"/>
      <x v="47"/>
      <x v="32"/>
    </i>
    <i>
      <x v="48"/>
      <x v="48"/>
      <x v="33"/>
    </i>
    <i>
      <x v="49"/>
      <x v="49"/>
      <x v="34"/>
    </i>
    <i>
      <x v="50"/>
      <x v="50"/>
      <x v="35"/>
    </i>
    <i>
      <x v="51"/>
      <x v="51"/>
      <x v="36"/>
    </i>
    <i>
      <x v="52"/>
      <x v="52"/>
      <x v="37"/>
    </i>
    <i>
      <x v="53"/>
      <x v="53"/>
      <x v="38"/>
    </i>
    <i>
      <x v="54"/>
      <x v="54"/>
      <x v="39"/>
    </i>
    <i>
      <x v="55"/>
      <x v="55"/>
      <x v="40"/>
    </i>
    <i>
      <x v="56"/>
      <x v="56"/>
      <x v="41"/>
    </i>
    <i>
      <x v="57"/>
      <x v="57"/>
      <x v="42"/>
    </i>
    <i>
      <x v="58"/>
      <x v="58"/>
      <x v="43"/>
    </i>
    <i>
      <x v="59"/>
      <x v="59"/>
      <x v="44"/>
    </i>
    <i>
      <x v="60"/>
      <x v="60"/>
      <x v="45"/>
    </i>
    <i>
      <x v="61"/>
      <x v="61"/>
      <x v="46"/>
    </i>
    <i>
      <x v="62"/>
      <x v="62"/>
      <x v="47"/>
    </i>
    <i>
      <x v="63"/>
      <x v="63"/>
      <x v="48"/>
    </i>
    <i>
      <x v="64"/>
      <x v="64"/>
      <x v="49"/>
    </i>
    <i>
      <x v="65"/>
      <x v="65"/>
      <x v="50"/>
    </i>
    <i>
      <x v="66"/>
      <x v="66"/>
      <x v="51"/>
    </i>
    <i>
      <x v="67"/>
      <x v="67"/>
      <x v="51"/>
    </i>
    <i>
      <x v="68"/>
      <x v="68"/>
      <x v="52"/>
    </i>
    <i>
      <x v="69"/>
      <x v="69"/>
      <x v="53"/>
    </i>
    <i>
      <x v="70"/>
      <x v="70"/>
      <x v="54"/>
    </i>
    <i>
      <x v="71"/>
      <x v="71"/>
      <x v="55"/>
    </i>
    <i>
      <x v="72"/>
      <x v="72"/>
      <x v="56"/>
    </i>
    <i>
      <x v="73"/>
      <x v="73"/>
      <x v="57"/>
    </i>
    <i>
      <x v="74"/>
      <x v="74"/>
      <x v="58"/>
    </i>
    <i>
      <x v="75"/>
      <x v="75"/>
      <x v="59"/>
    </i>
    <i>
      <x v="76"/>
      <x v="76"/>
      <x v="60"/>
    </i>
    <i>
      <x v="77"/>
      <x v="77"/>
      <x v="61"/>
    </i>
    <i>
      <x v="78"/>
      <x v="78"/>
      <x v="62"/>
    </i>
    <i>
      <x v="79"/>
      <x v="79"/>
      <x v="63"/>
    </i>
    <i>
      <x v="80"/>
      <x v="80"/>
      <x v="64"/>
    </i>
    <i>
      <x v="81"/>
      <x v="81"/>
      <x v="65"/>
    </i>
    <i>
      <x v="82"/>
      <x v="82"/>
      <x v="66"/>
    </i>
    <i>
      <x v="83"/>
      <x v="83"/>
      <x v="67"/>
    </i>
    <i>
      <x v="84"/>
      <x v="84"/>
      <x v="68"/>
    </i>
    <i>
      <x v="85"/>
      <x v="85"/>
      <x v="69"/>
    </i>
    <i>
      <x v="86"/>
      <x v="86"/>
      <x v="70"/>
    </i>
    <i>
      <x v="87"/>
      <x v="87"/>
      <x v="71"/>
    </i>
    <i>
      <x v="88"/>
      <x v="88"/>
      <x v="72"/>
    </i>
    <i>
      <x v="89"/>
      <x v="89"/>
      <x v="69"/>
    </i>
    <i>
      <x v="90"/>
      <x v="90"/>
      <x v="73"/>
    </i>
    <i>
      <x v="91"/>
      <x v="91"/>
      <x v="74"/>
    </i>
    <i>
      <x v="92"/>
      <x v="92"/>
      <x v="75"/>
    </i>
    <i>
      <x v="93"/>
      <x v="93"/>
      <x v="74"/>
    </i>
    <i>
      <x v="94"/>
      <x v="94"/>
      <x v="76"/>
    </i>
    <i>
      <x v="95"/>
      <x v="95"/>
      <x v="77"/>
    </i>
    <i>
      <x v="96"/>
      <x v="96"/>
      <x v="78"/>
    </i>
    <i>
      <x v="97"/>
      <x v="97"/>
      <x v="79"/>
    </i>
    <i>
      <x v="98"/>
      <x v="98"/>
      <x v="80"/>
    </i>
    <i>
      <x v="99"/>
      <x v="99"/>
      <x v="81"/>
    </i>
    <i>
      <x v="100"/>
      <x v="100"/>
      <x v="82"/>
    </i>
    <i>
      <x v="101"/>
      <x v="101"/>
      <x v="83"/>
    </i>
    <i>
      <x v="102"/>
      <x v="102"/>
      <x v="84"/>
    </i>
    <i>
      <x v="103"/>
      <x v="103"/>
      <x v="85"/>
    </i>
    <i>
      <x v="104"/>
      <x v="104"/>
      <x v="86"/>
    </i>
    <i>
      <x v="105"/>
      <x v="105"/>
      <x v="87"/>
    </i>
    <i>
      <x v="106"/>
      <x v="106"/>
      <x v="88"/>
    </i>
    <i>
      <x v="107"/>
      <x v="107"/>
      <x v="89"/>
    </i>
    <i>
      <x v="108"/>
      <x v="108"/>
      <x v="90"/>
    </i>
    <i>
      <x v="109"/>
      <x v="109"/>
      <x v="91"/>
    </i>
    <i>
      <x v="110"/>
      <x v="110"/>
      <x v="92"/>
    </i>
    <i>
      <x v="111"/>
      <x v="111"/>
      <x v="93"/>
    </i>
    <i>
      <x v="112"/>
      <x v="112"/>
      <x v="94"/>
    </i>
    <i>
      <x v="113"/>
      <x v="113"/>
      <x v="95"/>
    </i>
    <i>
      <x v="114"/>
      <x v="114"/>
      <x v="96"/>
    </i>
    <i>
      <x v="115"/>
      <x v="115"/>
      <x v="97"/>
    </i>
    <i>
      <x v="116"/>
      <x v="116"/>
      <x v="98"/>
    </i>
    <i>
      <x v="117"/>
      <x v="117"/>
      <x v="99"/>
    </i>
    <i>
      <x v="118"/>
      <x v="118"/>
      <x v="100"/>
    </i>
    <i>
      <x v="119"/>
      <x v="119"/>
      <x v="101"/>
    </i>
    <i>
      <x v="120"/>
      <x v="120"/>
      <x v="102"/>
    </i>
    <i>
      <x v="121"/>
      <x v="121"/>
      <x v="103"/>
    </i>
    <i>
      <x v="122"/>
      <x v="122"/>
      <x v="104"/>
    </i>
    <i>
      <x v="123"/>
      <x v="123"/>
      <x v="105"/>
    </i>
    <i>
      <x v="124"/>
      <x v="124"/>
      <x v="106"/>
    </i>
    <i>
      <x v="125"/>
      <x v="125"/>
      <x v="107"/>
    </i>
    <i>
      <x v="126"/>
      <x v="126"/>
      <x v="108"/>
    </i>
    <i>
      <x v="127"/>
      <x v="127"/>
      <x v="104"/>
    </i>
    <i>
      <x v="128"/>
      <x v="128"/>
      <x v="109"/>
    </i>
    <i>
      <x v="129"/>
      <x v="129"/>
      <x v="110"/>
    </i>
    <i>
      <x v="130"/>
      <x v="130"/>
      <x v="111"/>
    </i>
    <i>
      <x v="131"/>
      <x v="131"/>
      <x v="112"/>
    </i>
    <i>
      <x v="132"/>
      <x v="132"/>
      <x v="113"/>
    </i>
    <i>
      <x v="133"/>
      <x v="133"/>
      <x v="114"/>
    </i>
    <i>
      <x v="134"/>
      <x v="134"/>
      <x v="115"/>
    </i>
    <i>
      <x v="135"/>
      <x v="135"/>
      <x v="116"/>
    </i>
    <i>
      <x v="136"/>
      <x v="136"/>
      <x v="117"/>
    </i>
    <i>
      <x v="137"/>
      <x v="137"/>
      <x v="118"/>
    </i>
    <i>
      <x v="138"/>
      <x v="138"/>
      <x v="119"/>
    </i>
    <i>
      <x v="139"/>
      <x v="139"/>
      <x v="120"/>
    </i>
    <i>
      <x v="140"/>
      <x v="140"/>
      <x v="121"/>
    </i>
    <i>
      <x v="141"/>
      <x v="141"/>
      <x v="122"/>
    </i>
    <i>
      <x v="142"/>
      <x v="142"/>
      <x v="123"/>
    </i>
    <i>
      <x v="143"/>
      <x v="143"/>
      <x v="124"/>
    </i>
    <i>
      <x v="144"/>
      <x v="144"/>
      <x v="125"/>
    </i>
    <i>
      <x v="145"/>
      <x v="145"/>
      <x v="126"/>
    </i>
    <i>
      <x v="146"/>
      <x v="146"/>
      <x v="127"/>
    </i>
    <i>
      <x v="147"/>
      <x v="147"/>
      <x v="128"/>
    </i>
    <i>
      <x v="148"/>
      <x v="148"/>
      <x v="129"/>
    </i>
    <i>
      <x v="149"/>
      <x v="149"/>
      <x v="130"/>
    </i>
    <i>
      <x v="150"/>
      <x v="150"/>
      <x v="131"/>
    </i>
    <i>
      <x v="151"/>
      <x v="151"/>
      <x v="132"/>
    </i>
    <i>
      <x v="152"/>
      <x v="152"/>
      <x v="133"/>
    </i>
    <i>
      <x v="153"/>
      <x v="153"/>
      <x v="134"/>
    </i>
    <i>
      <x v="154"/>
      <x v="154"/>
      <x v="135"/>
    </i>
    <i>
      <x v="155"/>
      <x v="155"/>
      <x v="136"/>
    </i>
    <i>
      <x v="156"/>
      <x v="156"/>
      <x v="137"/>
    </i>
    <i>
      <x v="157"/>
      <x v="157"/>
      <x v="138"/>
    </i>
    <i>
      <x v="158"/>
      <x v="158"/>
      <x v="129"/>
    </i>
    <i>
      <x v="159"/>
      <x v="159"/>
      <x v="139"/>
    </i>
    <i>
      <x v="160"/>
      <x v="160"/>
      <x v="140"/>
    </i>
    <i>
      <x v="161"/>
      <x v="161"/>
      <x v="14"/>
    </i>
    <i>
      <x v="162"/>
      <x v="162"/>
      <x v="14"/>
    </i>
    <i>
      <x v="163"/>
      <x v="163"/>
      <x v="141"/>
    </i>
    <i>
      <x v="164"/>
      <x v="164"/>
      <x v="142"/>
    </i>
    <i>
      <x v="165"/>
      <x v="165"/>
      <x v="143"/>
    </i>
    <i>
      <x v="166"/>
      <x v="166"/>
      <x v="144"/>
    </i>
    <i>
      <x v="167"/>
      <x v="167"/>
      <x v="145"/>
    </i>
    <i>
      <x v="168"/>
      <x v="168"/>
      <x v="146"/>
    </i>
    <i>
      <x v="169"/>
      <x v="169"/>
      <x v="147"/>
    </i>
    <i>
      <x v="170"/>
      <x v="170"/>
      <x v="148"/>
    </i>
    <i>
      <x v="171"/>
      <x v="171"/>
      <x v="149"/>
    </i>
    <i>
      <x v="172"/>
      <x v="172"/>
      <x v="150"/>
    </i>
    <i>
      <x v="173"/>
      <x v="173"/>
      <x v="151"/>
    </i>
    <i>
      <x v="174"/>
      <x v="174"/>
      <x v="152"/>
    </i>
    <i>
      <x v="175"/>
      <x v="175"/>
      <x v="123"/>
    </i>
    <i>
      <x v="176"/>
      <x v="176"/>
      <x v="153"/>
    </i>
    <i>
      <x v="177"/>
      <x v="177"/>
      <x v="154"/>
    </i>
    <i>
      <x v="178"/>
      <x v="178"/>
      <x v="155"/>
    </i>
    <i>
      <x v="179"/>
      <x v="179"/>
      <x v="156"/>
    </i>
    <i>
      <x v="180"/>
      <x v="180"/>
      <x v="157"/>
    </i>
    <i>
      <x v="181"/>
      <x v="181"/>
      <x v="158"/>
    </i>
    <i>
      <x v="182"/>
      <x v="182"/>
      <x v="14"/>
    </i>
    <i>
      <x v="183"/>
      <x v="183"/>
      <x v="159"/>
    </i>
    <i>
      <x v="184"/>
      <x v="184"/>
      <x v="160"/>
    </i>
    <i>
      <x v="185"/>
      <x v="185"/>
      <x v="161"/>
    </i>
    <i>
      <x v="186"/>
      <x v="186"/>
      <x v="162"/>
    </i>
    <i>
      <x v="187"/>
      <x v="187"/>
      <x v="163"/>
    </i>
    <i>
      <x v="188"/>
      <x v="188"/>
      <x v="164"/>
    </i>
    <i>
      <x v="189"/>
      <x v="189"/>
      <x v="165"/>
    </i>
    <i>
      <x v="190"/>
      <x v="190"/>
      <x v="166"/>
    </i>
    <i>
      <x v="191"/>
      <x v="191"/>
      <x v="167"/>
    </i>
    <i>
      <x v="192"/>
      <x v="192"/>
      <x v="168"/>
    </i>
    <i>
      <x v="193"/>
      <x v="193"/>
      <x v="169"/>
    </i>
    <i>
      <x v="194"/>
      <x v="194"/>
      <x v="170"/>
    </i>
    <i>
      <x v="195"/>
      <x v="195"/>
      <x v="171"/>
    </i>
    <i>
      <x v="196"/>
      <x v="196"/>
      <x v="172"/>
    </i>
    <i>
      <x v="197"/>
      <x v="197"/>
      <x v="173"/>
    </i>
    <i>
      <x v="198"/>
      <x v="198"/>
      <x v="174"/>
    </i>
    <i>
      <x v="199"/>
      <x v="199"/>
      <x v="175"/>
    </i>
    <i>
      <x v="200"/>
      <x v="200"/>
      <x v="176"/>
    </i>
    <i>
      <x v="201"/>
      <x v="201"/>
      <x v="177"/>
    </i>
    <i>
      <x v="202"/>
      <x v="202"/>
      <x v="178"/>
    </i>
    <i>
      <x v="203"/>
      <x v="203"/>
      <x v="179"/>
    </i>
    <i>
      <x v="204"/>
      <x v="204"/>
      <x v="180"/>
    </i>
    <i>
      <x v="205"/>
      <x v="205"/>
      <x v="181"/>
    </i>
    <i>
      <x v="206"/>
      <x v="206"/>
      <x v="164"/>
    </i>
    <i>
      <x v="207"/>
      <x v="207"/>
      <x v="182"/>
    </i>
    <i>
      <x v="208"/>
      <x v="208"/>
      <x v="183"/>
    </i>
    <i>
      <x v="209"/>
      <x v="209"/>
      <x v="184"/>
    </i>
    <i>
      <x v="210"/>
      <x v="210"/>
      <x v="185"/>
    </i>
    <i>
      <x v="211"/>
      <x v="211"/>
      <x v="186"/>
    </i>
    <i>
      <x v="212"/>
      <x v="212"/>
      <x v="186"/>
    </i>
    <i>
      <x v="213"/>
      <x v="213"/>
      <x v="117"/>
    </i>
    <i>
      <x v="214"/>
      <x v="214"/>
      <x v="187"/>
    </i>
    <i>
      <x v="215"/>
      <x v="215"/>
      <x v="125"/>
    </i>
    <i>
      <x v="216"/>
      <x v="216"/>
      <x v="188"/>
    </i>
    <i>
      <x v="217"/>
      <x v="217"/>
      <x v="189"/>
    </i>
    <i>
      <x v="218"/>
      <x v="218"/>
      <x v="190"/>
    </i>
    <i>
      <x v="219"/>
      <x v="219"/>
      <x v="171"/>
    </i>
    <i>
      <x v="220"/>
      <x v="220"/>
      <x v="191"/>
    </i>
    <i>
      <x v="221"/>
      <x v="221"/>
      <x v="192"/>
    </i>
    <i>
      <x v="222"/>
      <x v="222"/>
      <x v="193"/>
    </i>
    <i>
      <x v="223"/>
      <x v="223"/>
      <x v="194"/>
    </i>
    <i>
      <x v="224"/>
      <x v="224"/>
      <x v="195"/>
    </i>
    <i>
      <x v="225"/>
      <x v="225"/>
      <x v="196"/>
    </i>
    <i>
      <x v="226"/>
      <x v="226"/>
      <x v="197"/>
    </i>
    <i>
      <x v="227"/>
      <x v="227"/>
      <x v="198"/>
    </i>
    <i>
      <x v="228"/>
      <x v="228"/>
      <x v="199"/>
    </i>
    <i>
      <x v="229"/>
      <x v="229"/>
      <x v="200"/>
    </i>
    <i>
      <x v="230"/>
      <x v="230"/>
      <x v="201"/>
    </i>
    <i>
      <x v="231"/>
      <x v="231"/>
      <x v="202"/>
    </i>
    <i>
      <x v="232"/>
      <x v="232"/>
      <x v="203"/>
    </i>
    <i>
      <x v="233"/>
      <x v="233"/>
      <x v="204"/>
    </i>
    <i>
      <x v="234"/>
      <x v="234"/>
      <x v="205"/>
    </i>
    <i>
      <x v="235"/>
      <x v="235"/>
      <x v="206"/>
    </i>
    <i>
      <x v="236"/>
      <x v="236"/>
      <x v="207"/>
    </i>
    <i>
      <x v="237"/>
      <x v="237"/>
      <x v="208"/>
    </i>
    <i>
      <x v="238"/>
      <x v="238"/>
      <x v="209"/>
    </i>
    <i>
      <x v="239"/>
      <x v="239"/>
      <x v="210"/>
    </i>
    <i>
      <x v="240"/>
      <x v="240"/>
      <x v="211"/>
    </i>
    <i>
      <x v="241"/>
      <x v="241"/>
      <x v="212"/>
    </i>
    <i>
      <x v="242"/>
      <x v="242"/>
      <x v="213"/>
    </i>
    <i>
      <x v="243"/>
      <x v="243"/>
      <x v="214"/>
    </i>
    <i>
      <x v="244"/>
      <x v="244"/>
      <x v="215"/>
    </i>
    <i>
      <x v="245"/>
      <x v="245"/>
      <x v="216"/>
    </i>
    <i>
      <x v="246"/>
      <x v="246"/>
      <x v="136"/>
    </i>
    <i>
      <x v="247"/>
      <x v="247"/>
      <x v="217"/>
    </i>
    <i>
      <x v="248"/>
      <x v="248"/>
      <x v="212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4">
    <pageField fld="3" hier="10" name="[Calendar_].[year].&amp;[2026]" cap="2026"/>
    <pageField fld="1" hier="21" name="[Orenda_plan_fact].[groupCost].&amp;[Оренда приміщень]" cap="Оренда приміщень"/>
    <pageField fld="4" hier="36" name="[Store_directory].[Вид МВВ].&amp;[To go]" cap="To go"/>
    <pageField fld="8" hier="37" name="[Store_directory].[Власність].&amp;[оренда]" cap="оренда"/>
  </pageFields>
  <dataFields count="1">
    <dataField fld="0" baseField="0" baseItem="0"/>
  </dataFields>
  <formats count="22">
    <format dxfId="153">
      <pivotArea outline="0" fieldPosition="0">
        <references count="3">
          <reference field="5" count="1" selected="0">
            <x v="249"/>
          </reference>
          <reference field="6" count="1" selected="0">
            <x v="249"/>
          </reference>
          <reference field="7" count="1" selected="0">
            <x v="218"/>
          </reference>
        </references>
      </pivotArea>
    </format>
    <format dxfId="152">
      <pivotArea dataOnly="0" labelOnly="1" outline="0" fieldPosition="0">
        <references count="1">
          <reference field="5" count="1">
            <x v="249"/>
          </reference>
        </references>
      </pivotArea>
    </format>
    <format dxfId="151">
      <pivotArea dataOnly="0" labelOnly="1" outline="0" fieldPosition="0">
        <references count="2">
          <reference field="5" count="1" selected="0">
            <x v="249"/>
          </reference>
          <reference field="6" count="1">
            <x v="249"/>
          </reference>
        </references>
      </pivotArea>
    </format>
    <format dxfId="150">
      <pivotArea dataOnly="0" labelOnly="1" outline="0" fieldPosition="0">
        <references count="3">
          <reference field="5" count="1" selected="0">
            <x v="249"/>
          </reference>
          <reference field="6" count="1" selected="0">
            <x v="249"/>
          </reference>
          <reference field="7" count="1">
            <x v="218"/>
          </reference>
        </references>
      </pivotArea>
    </format>
    <format dxfId="149">
      <pivotArea outline="0" fieldPosition="0">
        <references count="3">
          <reference field="5" count="2" selected="0">
            <x v="250"/>
            <x v="251"/>
          </reference>
          <reference field="6" count="2" selected="0">
            <x v="250"/>
            <x v="251"/>
          </reference>
          <reference field="7" count="1" selected="0">
            <x v="218"/>
          </reference>
        </references>
      </pivotArea>
    </format>
    <format dxfId="148">
      <pivotArea dataOnly="0" labelOnly="1" outline="0" fieldPosition="0">
        <references count="1">
          <reference field="5" count="2">
            <x v="250"/>
            <x v="251"/>
          </reference>
        </references>
      </pivotArea>
    </format>
    <format dxfId="147">
      <pivotArea dataOnly="0" labelOnly="1" outline="0" fieldPosition="0">
        <references count="2">
          <reference field="5" count="1" selected="0">
            <x v="250"/>
          </reference>
          <reference field="6" count="1">
            <x v="250"/>
          </reference>
        </references>
      </pivotArea>
    </format>
    <format dxfId="146">
      <pivotArea dataOnly="0" labelOnly="1" outline="0" fieldPosition="0">
        <references count="2">
          <reference field="5" count="1" selected="0">
            <x v="251"/>
          </reference>
          <reference field="6" count="1">
            <x v="251"/>
          </reference>
        </references>
      </pivotArea>
    </format>
    <format dxfId="145">
      <pivotArea dataOnly="0" labelOnly="1" outline="0" fieldPosition="0">
        <references count="3">
          <reference field="5" count="1" selected="0">
            <x v="250"/>
          </reference>
          <reference field="6" count="1" selected="0">
            <x v="250"/>
          </reference>
          <reference field="7" count="1">
            <x v="218"/>
          </reference>
        </references>
      </pivotArea>
    </format>
    <format dxfId="144">
      <pivotArea dataOnly="0" labelOnly="1" outline="0" fieldPosition="0">
        <references count="3">
          <reference field="5" count="1" selected="0">
            <x v="251"/>
          </reference>
          <reference field="6" count="1" selected="0">
            <x v="251"/>
          </reference>
          <reference field="7" count="1">
            <x v="218"/>
          </reference>
        </references>
      </pivotArea>
    </format>
    <format dxfId="143">
      <pivotArea outline="0" fieldPosition="0">
        <references count="3">
          <reference field="5" count="1" selected="0">
            <x v="252"/>
          </reference>
          <reference field="6" count="1" selected="0">
            <x v="252"/>
          </reference>
          <reference field="7" count="1" selected="0">
            <x v="218"/>
          </reference>
        </references>
      </pivotArea>
    </format>
    <format dxfId="142">
      <pivotArea dataOnly="0" labelOnly="1" outline="0" fieldPosition="0">
        <references count="1">
          <reference field="5" count="1">
            <x v="252"/>
          </reference>
        </references>
      </pivotArea>
    </format>
    <format dxfId="141">
      <pivotArea dataOnly="0" labelOnly="1" outline="0" fieldPosition="0">
        <references count="2">
          <reference field="5" count="1" selected="0">
            <x v="252"/>
          </reference>
          <reference field="6" count="1">
            <x v="252"/>
          </reference>
        </references>
      </pivotArea>
    </format>
    <format dxfId="140">
      <pivotArea dataOnly="0" labelOnly="1" outline="0" fieldPosition="0">
        <references count="3">
          <reference field="5" count="1" selected="0">
            <x v="252"/>
          </reference>
          <reference field="6" count="1" selected="0">
            <x v="252"/>
          </reference>
          <reference field="7" count="1">
            <x v="218"/>
          </reference>
        </references>
      </pivotArea>
    </format>
    <format dxfId="139">
      <pivotArea outline="0" fieldPosition="0">
        <references count="3">
          <reference field="5" count="1" selected="0">
            <x v="253"/>
          </reference>
          <reference field="6" count="1" selected="0">
            <x v="253"/>
          </reference>
          <reference field="7" count="1" selected="0">
            <x v="218"/>
          </reference>
        </references>
      </pivotArea>
    </format>
    <format dxfId="138">
      <pivotArea dataOnly="0" labelOnly="1" outline="0" fieldPosition="0">
        <references count="1">
          <reference field="5" count="1">
            <x v="253"/>
          </reference>
        </references>
      </pivotArea>
    </format>
    <format dxfId="137">
      <pivotArea dataOnly="0" labelOnly="1" outline="0" fieldPosition="0">
        <references count="2">
          <reference field="5" count="1" selected="0">
            <x v="253"/>
          </reference>
          <reference field="6" count="1">
            <x v="253"/>
          </reference>
        </references>
      </pivotArea>
    </format>
    <format dxfId="136">
      <pivotArea dataOnly="0" labelOnly="1" outline="0" fieldPosition="0">
        <references count="3">
          <reference field="5" count="1" selected="0">
            <x v="253"/>
          </reference>
          <reference field="6" count="1" selected="0">
            <x v="253"/>
          </reference>
          <reference field="7" count="1">
            <x v="218"/>
          </reference>
        </references>
      </pivotArea>
    </format>
    <format dxfId="135">
      <pivotArea outline="0" fieldPosition="0">
        <references count="3">
          <reference field="5" count="1" selected="0">
            <x v="254"/>
          </reference>
          <reference field="6" count="1" selected="0">
            <x v="254"/>
          </reference>
          <reference field="7" count="1" selected="0">
            <x v="218"/>
          </reference>
        </references>
      </pivotArea>
    </format>
    <format dxfId="134">
      <pivotArea dataOnly="0" labelOnly="1" outline="0" fieldPosition="0">
        <references count="1">
          <reference field="5" count="1">
            <x v="254"/>
          </reference>
        </references>
      </pivotArea>
    </format>
    <format dxfId="133">
      <pivotArea dataOnly="0" labelOnly="1" outline="0" fieldPosition="0">
        <references count="2">
          <reference field="5" count="1" selected="0">
            <x v="254"/>
          </reference>
          <reference field="6" count="1">
            <x v="254"/>
          </reference>
        </references>
      </pivotArea>
    </format>
    <format dxfId="132">
      <pivotArea dataOnly="0" labelOnly="1" outline="0" fieldPosition="0">
        <references count="3">
          <reference field="5" count="1" selected="0">
            <x v="254"/>
          </reference>
          <reference field="6" count="1" selected="0">
            <x v="254"/>
          </reference>
          <reference field="7" count="1">
            <x v="218"/>
          </reference>
        </references>
      </pivotArea>
    </format>
  </formats>
  <pivotHierarchies count="8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fin_percent_rent].[year].&amp;[2026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Orenda_plan_fact].[groupCost].&amp;[Оренда приміщень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Store_directory].[Вид МВВ].&amp;[To go]"/>
        <member name="[Store_directory].[Вид МВВ].&amp;[Project]"/>
        <member name="[Store_directory].[Вид МВВ].&amp;[BaseLine]"/>
        <member name="[Store_directory].[Вид МВВ].&amp;[Project(ToGo)]"/>
      </members>
    </pivotHierarchy>
    <pivotHierarchy multipleItemSelectionAllowed="1">
      <members count="2" level="1">
        <member name="[Store_directory].[Власність].&amp;[оренда]"/>
        <member name="[Store_directory].[Власність].&amp;[ оренда]"/>
      </members>
    </pivotHierarchy>
    <pivotHierarchy>
      <members count="423" level="1">
        <member name="[Store_directory].[Дата відкриття].&amp;[2002-12-26T00:00:00]"/>
        <member name="[Store_directory].[Дата відкриття].&amp;[2002-12-29T00:00:00]"/>
        <member name="[Store_directory].[Дата відкриття].&amp;[2003-06-21T00:00:00]"/>
        <member name="[Store_directory].[Дата відкриття].&amp;[2003-08-15T00:00:00]"/>
        <member name="[Store_directory].[Дата відкриття].&amp;[2004-04-30T00:00:00]"/>
        <member name="[Store_directory].[Дата відкриття].&amp;[2004-07-29T00:00:00]"/>
        <member name="[Store_directory].[Дата відкриття].&amp;[2004-08-04T00:00:00]"/>
        <member name="[Store_directory].[Дата відкриття].&amp;[2004-08-21T00:00:00]"/>
        <member name="[Store_directory].[Дата відкриття].&amp;[2004-08-28T00:00:00]"/>
        <member name="[Store_directory].[Дата відкриття].&amp;[2004-09-04T00:00:00]"/>
        <member name="[Store_directory].[Дата відкриття].&amp;[2004-10-26T00:00:00]"/>
        <member name="[Store_directory].[Дата відкриття].&amp;[2004-10-29T00:00:00]"/>
        <member name="[Store_directory].[Дата відкриття].&amp;[2004-12-11T00:00:00]"/>
        <member name="[Store_directory].[Дата відкриття].&amp;[2004-12-18T00:00:00]"/>
        <member name=""/>
        <member name=""/>
        <member name=""/>
        <member name="[Store_directory].[Дата відкриття].&amp;[2005-06-02T00:00:00]"/>
        <member name="[Store_directory].[Дата відкриття].&amp;[2005-06-16T00:00:00]"/>
        <member name="[Store_directory].[Дата відкриття].&amp;[2005-06-26T00:00:00]"/>
        <member name=""/>
        <member name="[Store_directory].[Дата відкриття].&amp;[2005-08-15T00:00:00]"/>
        <member name="[Store_directory].[Дата відкриття].&amp;[2005-10-21T00:00:00]"/>
        <member name="[Store_directory].[Дата відкриття].&amp;[2005-11-19T00:00:00]"/>
        <member name=""/>
        <member name="[Store_directory].[Дата відкриття].&amp;[2006-04-07T00:00:00]"/>
        <member name=""/>
        <member name="[Store_directory].[Дата відкриття].&amp;[2006-05-16T00:00:00]"/>
        <member name="[Store_directory].[Дата відкриття].&amp;[2006-05-19T00:00:00]"/>
        <member name="[Store_directory].[Дата відкриття].&amp;[2006-06-01T00:00:00]"/>
        <member name="[Store_directory].[Дата відкриття].&amp;[2006-07-21T00:00:00]"/>
        <member name=""/>
        <member name="[Store_directory].[Дата відкриття].&amp;[2006-09-27T00:00:00]"/>
        <member name="[Store_directory].[Дата відкриття].&amp;[2006-09-29T00:00:00]"/>
        <member name=""/>
        <member name="[Store_directory].[Дата відкриття].&amp;[2006-12-30T00:00:00]"/>
        <member name="[Store_directory].[Дата відкриття].&amp;[2007-01-01T00:00:00]"/>
        <member name="[Store_directory].[Дата відкриття].&amp;[2007-01-05T00:00:00]"/>
        <member name="[Store_directory].[Дата відкриття].&amp;[2007-03-17T00:00:00]"/>
        <member name="[Store_directory].[Дата відкриття].&amp;[2007-04-28T00:00:00]"/>
        <member name=""/>
        <member name="[Store_directory].[Дата відкриття].&amp;[2007-06-15T00:00:00]"/>
        <member name="[Store_directory].[Дата відкриття].&amp;[2007-08-31T00:00:00]"/>
        <member name="[Store_directory].[Дата відкриття].&amp;[2007-09-13T00:00:00]"/>
        <member name=""/>
        <member name="[Store_directory].[Дата відкриття].&amp;[2007-10-17T00:00:00]"/>
        <member name="[Store_directory].[Дата відкриття].&amp;[2007-11-03T00:00:00]"/>
        <member name="[Store_directory].[Дата відкриття].&amp;[2007-12-08T00:00:00]"/>
        <member name="[Store_directory].[Дата відкриття].&amp;[2007-12-22T00:00:00]"/>
        <member name="[Store_directory].[Дата відкриття].&amp;[2007-12-29T00:00:00]"/>
        <member name="[Store_directory].[Дата відкриття].&amp;[2008-03-26T00:00:00]"/>
        <member name="[Store_directory].[Дата відкриття].&amp;[2008-04-19T00:00:00]"/>
        <member name=""/>
        <member name="[Store_directory].[Дата відкриття].&amp;[2008-05-22T00:00:00]"/>
        <member name="[Store_directory].[Дата відкриття].&amp;[2008-06-13T00:00:00]"/>
        <member name="[Store_directory].[Дата відкриття].&amp;[2008-07-31T00:00:00]"/>
        <member name=""/>
        <member name="[Store_directory].[Дата відкриття].&amp;[2008-09-23T00:00:00]"/>
        <member name=""/>
        <member name="[Store_directory].[Дата відкриття].&amp;[2008-10-15T00:00:00]"/>
        <member name="[Store_directory].[Дата відкриття].&amp;[2008-11-04T00:00:00]"/>
        <member name=""/>
        <member name=""/>
        <member name="[Store_directory].[Дата відкриття].&amp;[2008-12-26T00:00:00]"/>
        <member name="[Store_directory].[Дата відкриття].&amp;[2009-09-17T00:00:00]"/>
        <member name="[Store_directory].[Дата відкриття].&amp;[2010-01-01T00:00:00]"/>
        <member name="[Store_directory].[Дата відкриття].&amp;[2010-02-04T00:00:00]"/>
        <member name=""/>
        <member name="[Store_directory].[Дата відкриття].&amp;[2010-07-01T00:00:00]"/>
        <member name=""/>
        <member name="[Store_directory].[Дата відкриття].&amp;[2010-08-01T00:00:00]"/>
        <member name=""/>
        <member name="[Store_directory].[Дата відкриття].&amp;[2010-12-01T00:00:00]"/>
        <member name=""/>
        <member name="[Store_directory].[Дата відкриття].&amp;[2011-03-15T00:00:00]"/>
        <member name="[Store_directory].[Дата відкриття].&amp;[2011-04-01T00:00:00]"/>
        <member name=""/>
        <member name="[Store_directory].[Дата відкриття].&amp;[2011-05-01T00:00:00]"/>
        <member name=""/>
        <member name="[Store_directory].[Дата відкриття].&amp;[2011-06-01T00:00:00]"/>
        <member name=""/>
        <member name=""/>
        <member name="[Store_directory].[Дата відкриття].&amp;[2011-08-18T00:00:00]"/>
        <member name="[Store_directory].[Дата відкриття].&amp;[2011-08-25T00:00:00]"/>
        <member name=""/>
        <member name="[Store_directory].[Дата відкриття].&amp;[2011-10-09T00:00:00]"/>
        <member name=""/>
        <member name=""/>
        <member name="[Store_directory].[Дата відкриття].&amp;[2011-12-23T00:00:00]"/>
        <member name="[Store_directory].[Дата відкриття].&amp;[2012-04-24T00:00:00]"/>
        <member name="[Store_directory].[Дата відкриття].&amp;[2012-05-01T00:00:00]"/>
        <member name="[Store_directory].[Дата відкриття].&amp;[2012-05-10T00:00:00]"/>
        <member name=""/>
        <member name="[Store_directory].[Дата відкриття].&amp;[2012-07-10T00:00:00]"/>
        <member name=""/>
        <member name=""/>
        <member name="[Store_directory].[Дата відкриття].&amp;[2012-10-09T00:00:00]"/>
        <member name="[Store_directory].[Дата відкриття].&amp;[2012-10-10T00:00:00]"/>
        <member name="[Store_directory].[Дата відкриття].&amp;[2012-11-01T00:00:00]"/>
        <member name=""/>
        <member name=""/>
        <member name=""/>
        <member name=""/>
        <member name=""/>
        <member name="[Store_directory].[Дата відкриття].&amp;[2012-12-01T00:00:00]"/>
        <member name="[Store_directory].[Дата відкриття].&amp;[2012-12-06T00:00:00]"/>
        <member name=""/>
        <member name=""/>
        <member name=""/>
        <member name="[Store_directory].[Дата відкриття].&amp;[2013-01-01T00:00:00]"/>
        <member name=""/>
        <member name=""/>
        <member name=""/>
        <member name=""/>
        <member name="[Store_directory].[Дата відкриття].&amp;[2013-04-27T00:00:00]"/>
        <member name=""/>
        <member name="[Store_directory].[Дата відкриття].&amp;[2013-06-14T00:00:00]"/>
        <member name="[Store_directory].[Дата відкриття].&amp;[2013-06-21T00:00:00]"/>
        <member name=""/>
        <member name="[Store_directory].[Дата відкриття].&amp;[2013-07-02T00:00:00]"/>
        <member name=""/>
        <member name=""/>
        <member name="[Store_directory].[Дата відкриття].&amp;[2013-08-08T00:00:00]"/>
        <member name=""/>
        <member name="[Store_directory].[Дата відкриття].&amp;[2013-09-19T00:00:00]"/>
        <member name="[Store_directory].[Дата відкриття].&amp;[2013-10-10T00:00:00]"/>
        <member name=""/>
        <member name="[Store_directory].[Дата відкриття].&amp;[2013-11-01T00:00:00]"/>
        <member name=""/>
        <member name=""/>
        <member name="[Store_directory].[Дата відкриття].&amp;[2013-11-27T00:00:00]"/>
        <member name=""/>
        <member name=""/>
        <member name="[Store_directory].[Дата відкриття].&amp;[2014-01-01T00:00:00]"/>
        <member name=""/>
        <member name=""/>
        <member name="[Store_directory].[Дата відкриття].&amp;[2014-03-14T00:00:00]"/>
        <member name=""/>
        <member name=""/>
        <member name=""/>
        <member name=""/>
        <member name=""/>
        <member name=""/>
        <member name=""/>
        <member name="[Store_directory].[Дата відкриття].&amp;[2014-08-15T00:00:00]"/>
        <member name=""/>
        <member name="[Store_directory].[Дата відкриття].&amp;[2014-09-05T00:00:00]"/>
        <member name=""/>
        <member name="[Store_directory].[Дата відкриття].&amp;[2014-09-18T00:00:00]"/>
        <member name=""/>
        <member name="[Store_directory].[Дата відкриття].&amp;[2014-10-23T00:00:00]"/>
        <member name=""/>
        <member name=""/>
        <member name=""/>
        <member name=""/>
        <member name=""/>
        <member name="[Store_directory].[Дата відкриття].&amp;[2015-01-05T00:00:00]"/>
        <member name="[Store_directory].[Дата відкриття].&amp;[2015-01-06T00:00:00]"/>
        <member name="[Store_directory].[Дата відкриття].&amp;[2015-02-17T00:00:00]"/>
        <member name=""/>
        <member name="[Store_directory].[Дата відкриття].&amp;[2015-03-26T00:00:00]"/>
        <member name=""/>
        <member name="[Store_directory].[Дата відкриття].&amp;[2015-04-05T00:00:00]"/>
        <member name=""/>
        <member name=""/>
        <member name=""/>
        <member name=""/>
        <member name=""/>
        <member name=""/>
        <member name=""/>
        <member name="[Store_directory].[Дата відкриття].&amp;[2015-10-28T00:00:00]"/>
        <member name=""/>
        <member name="[Store_directory].[Дата відкриття].&amp;[2015-11-27T00:00:00]"/>
        <member name=""/>
        <member name=""/>
        <member name=""/>
        <member name=""/>
        <member name="[Store_directory].[Дата відкриття].&amp;[2016-02-16T00:00:00]"/>
        <member name=""/>
        <member name="[Store_directory].[Дата відкриття].&amp;[2016-02-23T00:00:00]"/>
        <member name="[Store_directory].[Дата відкриття].&amp;[2016-02-25T00:00:00]"/>
        <member name=""/>
        <member name="[Store_directory].[Дата відкриття].&amp;[2016-04-13T00:00:00]"/>
        <member name="[Store_directory].[Дата відкриття].&amp;[2016-04-26T00:00:00]"/>
        <member name="[Store_directory].[Дата відкриття].&amp;[2016-04-29T00:00:00]"/>
        <member name=""/>
        <member name=""/>
        <member name=""/>
        <member name="[Store_directory].[Дата відкриття].&amp;[2016-06-22T00:00:00]"/>
        <member name=""/>
        <member name=""/>
        <member name=""/>
        <member name=""/>
        <member name="[Store_directory].[Дата відкриття].&amp;[2016-10-19T00:00:00]"/>
        <member name="[Store_directory].[Дата відкриття].&amp;[2016-11-03T00:00:00]"/>
        <member name=""/>
        <member name="[Store_directory].[Дата відкриття].&amp;[2016-12-22T00:00:00]"/>
        <member name="[Store_directory].[Дата відкриття].&amp;[2017-02-02T00:00:00]"/>
        <member name="[Store_directory].[Дата відкриття].&amp;[2017-03-06T00:00:00]"/>
        <member name=""/>
        <member name="[Store_directory].[Дата відкриття].&amp;[2017-04-26T00:00:00]"/>
        <member name=""/>
        <member name=""/>
        <member name=""/>
        <member name="[Store_directory].[Дата відкриття].&amp;[2017-08-06T00:00:00]"/>
        <member name=""/>
        <member name=""/>
        <member name="[Store_directory].[Дата відкриття].&amp;[2017-09-01T00:00:00]"/>
        <member name="[Store_directory].[Дата відкриття].&amp;[2017-09-26T00:00:00]"/>
        <member name="[Store_directory].[Дата відкриття].&amp;[2017-10-14T00:00:00]"/>
        <member name=""/>
        <member name=""/>
        <member name="[Store_directory].[Дата відкриття].&amp;[2017-12-18T00:00:00]"/>
        <member name="[Store_directory].[Дата відкриття].&amp;[2017-12-22T00:00:00]"/>
        <member name="[Store_directory].[Дата відкриття].&amp;[2017-12-25T00:00:00]"/>
        <member name="[Store_directory].[Дата відкриття].&amp;[2018-03-30T00:00:00]"/>
        <member name="[Store_directory].[Дата відкриття].&amp;[2018-04-03T00:00:00]"/>
        <member name="[Store_directory].[Дата відкриття].&amp;[2018-04-17T00:00:00]"/>
        <member name="[Store_directory].[Дата відкриття].&amp;[2018-04-18T00:00:00]"/>
        <member name="[Store_directory].[Дата відкриття].&amp;[2018-06-13T00:00:00]"/>
        <member name="[Store_directory].[Дата відкриття].&amp;[2018-07-05T00:00:00]"/>
        <member name="[Store_directory].[Дата відкриття].&amp;[2018-08-21T00:00:00]"/>
        <member name="[Store_directory].[Дата відкриття].&amp;[2018-10-04T00:00:00]"/>
        <member name="[Store_directory].[Дата відкриття].&amp;[2018-11-08T00:00:00]"/>
        <member name="[Store_directory].[Дата відкриття].&amp;[2018-11-30T00:00:00]"/>
        <member name="[Store_directory].[Дата відкриття].&amp;[2018-12-06T00:00:00]"/>
        <member name="[Store_directory].[Дата відкриття].&amp;[2018-12-20T00:00:00]"/>
        <member name="[Store_directory].[Дата відкриття].&amp;[2019-02-04T00:00:00]"/>
        <member name="[Store_directory].[Дата відкриття].&amp;[2019-03-01T00:00:00]"/>
        <member name="[Store_directory].[Дата відкриття].&amp;[2019-04-01T00:00:00]"/>
        <member name="[Store_directory].[Дата відкриття].&amp;[2019-05-08T00:00:00]"/>
        <member name=""/>
        <member name="[Store_directory].[Дата відкриття].&amp;[2019-06-07T00:00:00]"/>
        <member name=""/>
        <member name="[Store_directory].[Дата відкриття].&amp;[2019-07-03T00:00:00]"/>
        <member name="[Store_directory].[Дата відкриття].&amp;[2019-07-31T00:00:00]"/>
        <member name="[Store_directory].[Дата відкриття].&amp;[2019-08-01T00:00:00]"/>
        <member name="[Store_directory].[Дата відкриття].&amp;[2019-08-08T00:00:00]"/>
        <member name="[Store_directory].[Дата відкриття].&amp;[2019-08-20T00:00:00]"/>
        <member name="[Store_directory].[Дата відкриття].&amp;[2019-09-02T00:00:00]"/>
        <member name="[Store_directory].[Дата відкриття].&amp;[2019-09-14T00:00:00]"/>
        <member name="[Store_directory].[Дата відкриття].&amp;[2019-10-16T00:00:00]"/>
        <member name="[Store_directory].[Дата відкриття].&amp;[2019-10-22T00:00:00]"/>
        <member name="[Store_directory].[Дата відкриття].&amp;[2019-11-01T00:00:00]"/>
        <member name="[Store_directory].[Дата відкриття].&amp;[2019-11-06T00:00:00]"/>
        <member name="[Store_directory].[Дата відкриття].&amp;[2019-11-07T00:00:00]"/>
        <member name="[Store_directory].[Дата відкриття].&amp;[2019-12-12T00:00:00]"/>
        <member name="[Store_directory].[Дата відкриття].&amp;[2019-12-18T00:00:00]"/>
        <member name="[Store_directory].[Дата відкриття].&amp;[2019-12-28T00:00:00]"/>
        <member name="[Store_directory].[Дата відкриття].&amp;[2020-01-01T00:00:00]"/>
        <member name=""/>
        <member name=""/>
        <member name="[Store_directory].[Дата відкриття].&amp;[2020-02-21T00:00:00]"/>
        <member name=""/>
        <member name="[Store_directory].[Дата відкриття].&amp;[2020-03-18T00:00:00]"/>
        <member name="[Store_directory].[Дата відкриття].&amp;[2020-03-24T00:00:00]"/>
        <member name="[Store_directory].[Дата відкриття].&amp;[2020-03-26T00:00:00]"/>
        <member name="[Store_directory].[Дата відкриття].&amp;[2020-04-13T00:00:00]"/>
        <member name=""/>
        <member name="[Store_directory].[Дата відкриття].&amp;[2020-04-29T00:00:00]"/>
        <member name="[Store_directory].[Дата відкриття].&amp;[2020-05-13T00:00:00]"/>
        <member name="[Store_directory].[Дата відкриття].&amp;[2020-06-03T00:00:00]"/>
        <member name="[Store_directory].[Дата відкриття].&amp;[2020-07-29T00:00:00]"/>
        <member name="[Store_directory].[Дата відкриття].&amp;[2020-08-14T00:00:00]"/>
        <member name="[Store_directory].[Дата відкриття].&amp;[2020-08-19T00:00:00]"/>
        <member name="[Store_directory].[Дата відкриття].&amp;[2020-08-20T00:00:00]"/>
        <member name="[Store_directory].[Дата відкриття].&amp;[2020-08-30T00:00:00]"/>
        <member name="[Store_directory].[Дата відкриття].&amp;[2020-09-01T00:00:00]"/>
        <member name=""/>
        <member name=""/>
        <member name="[Store_directory].[Дата відкриття].&amp;[2020-10-09T00:00:00]"/>
        <member name="[Store_directory].[Дата відкриття].&amp;[2020-10-21T00:00:00]"/>
        <member name="[Store_directory].[Дата відкриття].&amp;[2020-11-14T00:00:00]"/>
        <member name=""/>
        <member name="[Store_directory].[Дата відкриття].&amp;[2020-12-09T00:00:00]"/>
        <member name="[Store_directory].[Дата відкриття].&amp;[2020-12-22T00:00:00]"/>
        <member name="[Store_directory].[Дата відкриття].&amp;[2020-12-24T00:00:00]"/>
        <member name="[Store_directory].[Дата відкриття].&amp;[2020-12-28T00:00:00]"/>
        <member name="[Store_directory].[Дата відкриття].&amp;[2021-01-01T00:00:00]"/>
        <member name=""/>
        <member name="[Store_directory].[Дата відкриття].&amp;[2021-02-09T00:00:00]"/>
        <member name="[Store_directory].[Дата відкриття].&amp;[2021-02-19T00:00:00]"/>
        <member name="[Store_directory].[Дата відкриття].&amp;[2021-02-26T00:00:00]"/>
        <member name="[Store_directory].[Дата відкриття].&amp;[2021-03-01T00:00:00]"/>
        <member name=""/>
        <member name=""/>
        <member name="[Store_directory].[Дата відкриття].&amp;[2021-04-19T00:00:00]"/>
        <member name=""/>
        <member name=""/>
        <member name="[Store_directory].[Дата відкриття].&amp;[2021-05-06T00:00:00]"/>
        <member name=""/>
        <member name="[Store_directory].[Дата відкриття].&amp;[2021-05-28T00:00:00]"/>
        <member name="[Store_directory].[Дата відкриття].&amp;[2021-06-08T00:00:00]"/>
        <member name=""/>
        <member name=""/>
        <member name=""/>
        <member name=""/>
        <member name=""/>
        <member name="[Store_directory].[Дата відкриття].&amp;[2021-08-19T00:00:00]"/>
        <member name="[Store_directory].[Дата відкриття].&amp;[2021-09-05T00:00:00]"/>
        <member name="[Store_directory].[Дата відкриття].&amp;[2021-10-01T00:00:00]"/>
        <member name=""/>
        <member name=""/>
        <member name=""/>
        <member name="[Store_directory].[Дата відкриття].&amp;[2021-11-23T00:00:00]"/>
        <member name=""/>
        <member name=""/>
        <member name="[Store_directory].[Дата відкриття].&amp;[2021-12-07T00:00:00]"/>
        <member name=""/>
        <member name="[Store_directory].[Дата відкриття].&amp;[2021-12-21T00:00:00]"/>
        <member name=""/>
        <member name=""/>
        <member name="[Store_directory].[Дата відкриття].&amp;[2022-01-15T00:00:00]"/>
        <member name=""/>
        <member name=""/>
        <member name="[Store_directory].[Дата відкриття].&amp;[2022-02-12T00:00:00]"/>
        <member name="[Store_directory].[Дата відкриття].&amp;[2022-02-15T00:00:00]"/>
        <member name="[Store_directory].[Дата відкриття].&amp;[2022-02-24T00:00:00]"/>
        <member name=""/>
        <member name=""/>
        <member name=""/>
        <member name="[Store_directory].[Дата відкриття].&amp;[2022-07-22T00:00:00]"/>
        <member name="[Store_directory].[Дата відкриття].&amp;[2022-07-25T00:00:00]"/>
        <member name="[Store_directory].[Дата відкриття].&amp;[2022-07-26T00:00:00]"/>
        <member name=""/>
        <member name=""/>
        <member name="[Store_directory].[Дата відкриття].&amp;[2022-10-24T00:00:00]"/>
        <member name=""/>
        <member name=""/>
        <member name=""/>
        <member name=""/>
        <member name=""/>
        <member name=""/>
        <member name="[Store_directory].[Дата відкриття].&amp;[2023-04-26T00:00:00]"/>
        <member name=""/>
        <member name=""/>
        <member name=""/>
        <member name=""/>
        <member name=""/>
        <member name="[Store_directory].[Дата відкриття].&amp;[2023-06-16T00:00:00]"/>
        <member name=""/>
        <member name="[Store_directory].[Дата відкриття].&amp;[2023-07-03T00:00:00]"/>
        <member name=""/>
        <member name=""/>
        <member name="[Store_directory].[Дата відкриття].&amp;[2023-07-24T00:00:0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Store_directory].[Дата відкриття].&amp;[2023-12-22T00:00:0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Store_directory].[Дата відкриття].&amp;[2024-08-02T00:00:00]"/>
        <member name=""/>
        <member name=""/>
        <member name=""/>
        <member name=""/>
        <member name="[Store_directory].[Дата відкриття].&amp;[2024-10-10T00:00:00]"/>
        <member name=""/>
        <member name=""/>
        <member name="[Store_directory].[Дата відкриття].&amp;[2024-10-31T00:00:0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Store_directory].[Дата відкриття].&amp;[2025-07-13T00:00:00]"/>
        <member name="[Store_directory].[Дата відкриття].&amp;[2025-07-16T00:00:00]"/>
        <member name="[Store_directory].[Дата відкриття].&amp;[2025-07-31T00:00:00]"/>
        <member name=""/>
        <member name=""/>
        <member name=""/>
        <member name=""/>
        <member name=""/>
        <member name=""/>
        <member name=""/>
        <member name=""/>
        <member name="[Store_directory].[Дата відкриття].&amp;[2025-10-08T00:00:00]"/>
        <member name=""/>
        <member name="[Store_directory].[Дата відкриття].&amp;[2025-10-29T00:00:0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2"/>
    <rowHierarchyUsage hierarchyUsage="44"/>
    <rowHierarchyUsage hierarchyUsage="38"/>
  </rowHierarchiesUsage>
  <colHierarchiesUsage count="1">
    <colHierarchyUsage hierarchyUsage="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43DF-8AA6-4D37-B1CA-CA88A4ABE623}">
  <dimension ref="A1:Q432"/>
  <sheetViews>
    <sheetView topLeftCell="E404" workbookViewId="0">
      <selection activeCell="Q428" sqref="Q428:Q431"/>
    </sheetView>
  </sheetViews>
  <sheetFormatPr defaultRowHeight="14.4" x14ac:dyDescent="0.3"/>
  <cols>
    <col min="1" max="1" width="21.44140625" bestFit="1" customWidth="1"/>
    <col min="2" max="2" width="41.21875" bestFit="1" customWidth="1"/>
    <col min="3" max="3" width="16.21875" bestFit="1" customWidth="1"/>
    <col min="4" max="10" width="12.33203125" bestFit="1" customWidth="1"/>
    <col min="11" max="12" width="18.77734375" customWidth="1"/>
    <col min="13" max="13" width="12.33203125" bestFit="1" customWidth="1"/>
    <col min="14" max="14" width="18.77734375" bestFit="1" customWidth="1"/>
    <col min="15" max="17" width="19.77734375" bestFit="1" customWidth="1"/>
    <col min="18" max="18" width="18.77734375" bestFit="1" customWidth="1"/>
    <col min="19" max="30" width="11.5546875" bestFit="1" customWidth="1"/>
    <col min="31" max="31" width="13.77734375" bestFit="1" customWidth="1"/>
    <col min="32" max="34" width="11.5546875" bestFit="1" customWidth="1"/>
    <col min="35" max="35" width="13.77734375" bestFit="1" customWidth="1"/>
    <col min="36" max="36" width="18.77734375" bestFit="1" customWidth="1"/>
    <col min="37" max="41" width="17.21875" bestFit="1" customWidth="1"/>
    <col min="42" max="42" width="13.44140625" bestFit="1" customWidth="1"/>
    <col min="43" max="43" width="12.33203125" bestFit="1" customWidth="1"/>
    <col min="44" max="44" width="12.5546875" bestFit="1" customWidth="1"/>
    <col min="45" max="481" width="11.5546875" bestFit="1" customWidth="1"/>
    <col min="482" max="482" width="18.77734375" bestFit="1" customWidth="1"/>
  </cols>
  <sheetData>
    <row r="1" spans="1:17" x14ac:dyDescent="0.3">
      <c r="A1" s="1" t="s">
        <v>101</v>
      </c>
      <c r="B1" t="s" vm="1">
        <v>418</v>
      </c>
      <c r="M1" t="str">
        <f>"insert into business_analytic.report.orenda values("&amp;2026&amp;", "&amp;D$7&amp;", '"&amp;$A1&amp;"', '"&amp;$B1&amp;"', "&amp;"NULL"&amp;", "&amp;IF(D1="",0,D1)&amp;", "&amp;"'TO'"&amp;");"</f>
        <v>insert into business_analytic.report.orenda values(2026, 1, 'year', '2026', NULL, 0, 'TO');</v>
      </c>
    </row>
    <row r="2" spans="1:17" x14ac:dyDescent="0.3">
      <c r="A2" s="1" t="s">
        <v>100</v>
      </c>
      <c r="B2" t="s" vm="7">
        <v>923</v>
      </c>
    </row>
    <row r="3" spans="1:17" x14ac:dyDescent="0.3">
      <c r="A3" s="1" t="s">
        <v>420</v>
      </c>
      <c r="B3" t="s" vm="2">
        <v>419</v>
      </c>
    </row>
    <row r="4" spans="1:17" x14ac:dyDescent="0.3">
      <c r="A4" s="1" t="s">
        <v>922</v>
      </c>
      <c r="B4" t="s" vm="5">
        <v>419</v>
      </c>
    </row>
    <row r="6" spans="1:17" x14ac:dyDescent="0.3">
      <c r="A6" s="1" t="s">
        <v>99</v>
      </c>
      <c r="D6" s="1" t="s">
        <v>1197</v>
      </c>
    </row>
    <row r="7" spans="1:17" x14ac:dyDescent="0.3">
      <c r="A7" s="1" t="s">
        <v>102</v>
      </c>
      <c r="B7" s="1" t="s">
        <v>431</v>
      </c>
      <c r="C7" s="1" t="s">
        <v>699</v>
      </c>
      <c r="D7" t="s">
        <v>1198</v>
      </c>
      <c r="E7" t="s">
        <v>1199</v>
      </c>
      <c r="F7" t="s">
        <v>1200</v>
      </c>
      <c r="G7" t="s">
        <v>1211</v>
      </c>
      <c r="H7" t="s">
        <v>1217</v>
      </c>
      <c r="I7" t="s">
        <v>1234</v>
      </c>
      <c r="J7" t="s">
        <v>1235</v>
      </c>
      <c r="K7" t="s">
        <v>98</v>
      </c>
    </row>
    <row r="8" spans="1:17" x14ac:dyDescent="0.3">
      <c r="A8" t="s">
        <v>275</v>
      </c>
      <c r="B8" t="s">
        <v>924</v>
      </c>
      <c r="C8" t="s">
        <v>925</v>
      </c>
      <c r="D8" s="2">
        <v>6298714.669999999</v>
      </c>
      <c r="E8" s="2">
        <v>6100353.9199999999</v>
      </c>
      <c r="F8" s="2">
        <v>7105269.5800000001</v>
      </c>
      <c r="G8" s="2">
        <v>7083832.9399999995</v>
      </c>
      <c r="H8" s="2">
        <v>7768517.5299999993</v>
      </c>
      <c r="I8" s="2">
        <v>7328014.2699999996</v>
      </c>
      <c r="J8" s="2">
        <v>2502022.36</v>
      </c>
      <c r="K8" s="2">
        <v>44186725.269999996</v>
      </c>
      <c r="L8" s="2"/>
      <c r="M8" t="str">
        <f>"insert into business_analytic.report.orenda values("&amp;2026&amp;", "&amp;D$7&amp;", '"&amp;$A8&amp;"', '"&amp;$B8&amp;"', "&amp;"NULL"&amp;", "&amp;IF(D8="",0,D8)&amp;", "&amp;"'TO'"&amp;");"</f>
        <v>insert into business_analytic.report.orenda values(2026, 1, '2021100100', 'Київ,Фора-001 Йорданська,20', NULL, 6298714.67, 'TO');</v>
      </c>
      <c r="N8" t="str">
        <f>"insert into business_analytic.report.orenda values("&amp;2026&amp;", "&amp;E$7&amp;", '"&amp;$A8&amp;"', '"&amp;$B8&amp;"', "&amp;"NULL"&amp;", "&amp;IF(E8="",0,E8)&amp;", "&amp;"'TO'"&amp;");"</f>
        <v>insert into business_analytic.report.orenda values(2026, 2, '2021100100', 'Київ,Фора-001 Йорданська,20', NULL, 6100353.92, 'TO');</v>
      </c>
      <c r="O8" t="str">
        <f t="shared" ref="O8:O23" si="0">"insert into business_analytic.report.orenda values("&amp;2026&amp;", "&amp;F$7&amp;", '"&amp;$A8&amp;"', '"&amp;$B8&amp;"', "&amp;"NULL"&amp;", "&amp;IF(F8="",0,F8)&amp;", "&amp;"'TO'"&amp;");"</f>
        <v>insert into business_analytic.report.orenda values(2026, 3, '2021100100', 'Київ,Фора-001 Йорданська,20', NULL, 7105269.58, 'TO');</v>
      </c>
      <c r="P8" t="str">
        <f>"insert into business_analytic.report.orenda values("&amp;2026&amp;", "&amp;G$7&amp;", '"&amp;$A8&amp;"', '"&amp;$B8&amp;"', "&amp;"NULL"&amp;", "&amp;IF(G8="",0,G8)&amp;", "&amp;"'TO'"&amp;");"</f>
        <v>insert into business_analytic.report.orenda values(2026, 4, '2021100100', 'Київ,Фора-001 Йорданська,20', NULL, 7083832.94, 'TO');</v>
      </c>
      <c r="Q8" t="str">
        <f>"insert into business_analytic.report.orenda values("&amp;2026&amp;", "&amp;H$7&amp;", '"&amp;$A8&amp;"', '"&amp;$B8&amp;"', "&amp;"NULL"&amp;", "&amp;IF(H8="",0,H8)&amp;", "&amp;"'TO'"&amp;");"</f>
        <v>insert into business_analytic.report.orenda values(2026, 5, '2021100100', 'Київ,Фора-001 Йорданська,20', NULL, 7768517.53, 'TO');</v>
      </c>
    </row>
    <row r="9" spans="1:17" x14ac:dyDescent="0.3">
      <c r="A9" t="s">
        <v>276</v>
      </c>
      <c r="B9" t="s">
        <v>926</v>
      </c>
      <c r="C9" t="s">
        <v>927</v>
      </c>
      <c r="D9" s="2">
        <v>6946226.0299999993</v>
      </c>
      <c r="E9" s="2">
        <v>6741322.1600000001</v>
      </c>
      <c r="F9" s="2">
        <v>7931512.4799999995</v>
      </c>
      <c r="G9" s="2">
        <v>4883944.03</v>
      </c>
      <c r="H9" s="2"/>
      <c r="I9" s="2"/>
      <c r="J9" s="2">
        <v>900928.08</v>
      </c>
      <c r="K9" s="2">
        <v>27403932.779999997</v>
      </c>
      <c r="L9" s="2"/>
      <c r="M9" t="str">
        <f t="shared" ref="M9:M72" si="1">"insert into business_analytic.report.orenda values("&amp;2026&amp;", "&amp;D$7&amp;", '"&amp;$A9&amp;"', '"&amp;$B9&amp;"', "&amp;"NULL"&amp;", "&amp;IF(D9="",0,D9)&amp;", "&amp;"'TO'"&amp;");"</f>
        <v>insert into business_analytic.report.orenda values(2026, 1, '2021100200', 'Київ,Фора-002 Вернадського,16', NULL, 6946226.03, 'TO');</v>
      </c>
      <c r="N9" t="str">
        <f t="shared" ref="N9:O72" si="2">"insert into business_analytic.report.orenda values("&amp;2026&amp;", "&amp;E$7&amp;", '"&amp;$A9&amp;"', '"&amp;$B9&amp;"', "&amp;"NULL"&amp;", "&amp;IF(E9="",0,E9)&amp;", "&amp;"'TO'"&amp;");"</f>
        <v>insert into business_analytic.report.orenda values(2026, 2, '2021100200', 'Київ,Фора-002 Вернадського,16', NULL, 6741322.16, 'TO');</v>
      </c>
      <c r="O9" t="str">
        <f t="shared" si="0"/>
        <v>insert into business_analytic.report.orenda values(2026, 3, '2021100200', 'Київ,Фора-002 Вернадського,16', NULL, 7931512.48, 'TO');</v>
      </c>
      <c r="P9" t="str">
        <f t="shared" ref="P9:P72" si="3">"insert into business_analytic.report.orenda values("&amp;2026&amp;", "&amp;G$7&amp;", '"&amp;$A9&amp;"', '"&amp;$B9&amp;"', "&amp;"NULL"&amp;", "&amp;IF(G9="",0,G9)&amp;", "&amp;"'TO'"&amp;");"</f>
        <v>insert into business_analytic.report.orenda values(2026, 4, '2021100200', 'Київ,Фора-002 Вернадського,16', NULL, 4883944.03, 'TO');</v>
      </c>
      <c r="Q9" t="str">
        <f t="shared" ref="Q9:Q72" si="4">"insert into business_analytic.report.orenda values("&amp;2026&amp;", "&amp;H$7&amp;", '"&amp;$A9&amp;"', '"&amp;$B9&amp;"', "&amp;"NULL"&amp;", "&amp;IF(H9="",0,H9)&amp;", "&amp;"'TO'"&amp;");"</f>
        <v>insert into business_analytic.report.orenda values(2026, 5, '2021100200', 'Київ,Фора-002 Вернадського,16', NULL, 0, 'TO');</v>
      </c>
    </row>
    <row r="10" spans="1:17" x14ac:dyDescent="0.3">
      <c r="A10" t="s">
        <v>277</v>
      </c>
      <c r="B10" t="s">
        <v>928</v>
      </c>
      <c r="C10" t="s">
        <v>929</v>
      </c>
      <c r="D10" s="2">
        <v>7469944.8199999994</v>
      </c>
      <c r="E10" s="2">
        <v>7234213.25</v>
      </c>
      <c r="F10" s="2">
        <v>8105539.2700000005</v>
      </c>
      <c r="G10" s="2">
        <v>8280415.2699999996</v>
      </c>
      <c r="H10" s="2">
        <v>8875094.9799999986</v>
      </c>
      <c r="I10" s="2">
        <v>8370496.8700000001</v>
      </c>
      <c r="J10" s="2">
        <v>2897814.83</v>
      </c>
      <c r="K10" s="2">
        <v>51233519.289999992</v>
      </c>
      <c r="L10" s="2"/>
      <c r="M10" t="str">
        <f t="shared" si="1"/>
        <v>insert into business_analytic.report.orenda values(2026, 1, '2021100300', 'Київ,Фора-003 Шолуденка,16', NULL, 7469944.82, 'TO');</v>
      </c>
      <c r="N10" t="str">
        <f t="shared" si="2"/>
        <v>insert into business_analytic.report.orenda values(2026, 2, '2021100300', 'Київ,Фора-003 Шолуденка,16', NULL, 7234213.25, 'TO');</v>
      </c>
      <c r="O10" t="str">
        <f t="shared" si="0"/>
        <v>insert into business_analytic.report.orenda values(2026, 3, '2021100300', 'Київ,Фора-003 Шолуденка,16', NULL, 8105539.27, 'TO');</v>
      </c>
      <c r="P10" t="str">
        <f t="shared" si="3"/>
        <v>insert into business_analytic.report.orenda values(2026, 4, '2021100300', 'Київ,Фора-003 Шолуденка,16', NULL, 8280415.27, 'TO');</v>
      </c>
      <c r="Q10" t="str">
        <f t="shared" si="4"/>
        <v>insert into business_analytic.report.orenda values(2026, 5, '2021100300', 'Київ,Фора-003 Шолуденка,16', NULL, 8875094.98, 'TO');</v>
      </c>
    </row>
    <row r="11" spans="1:17" x14ac:dyDescent="0.3">
      <c r="A11" t="s">
        <v>103</v>
      </c>
      <c r="B11" t="s">
        <v>684</v>
      </c>
      <c r="C11" t="s">
        <v>700</v>
      </c>
      <c r="D11" s="2">
        <v>16715782.67</v>
      </c>
      <c r="E11" s="2">
        <v>16170574.469999999</v>
      </c>
      <c r="F11" s="2">
        <v>17461293.100000001</v>
      </c>
      <c r="G11" s="2">
        <v>17307949.210000001</v>
      </c>
      <c r="H11" s="2">
        <v>18159719.140000001</v>
      </c>
      <c r="I11" s="2">
        <v>17057152.039999999</v>
      </c>
      <c r="J11" s="2">
        <v>6351413.79</v>
      </c>
      <c r="K11" s="2">
        <v>109223884.42</v>
      </c>
      <c r="L11" s="2"/>
      <c r="M11" t="str">
        <f t="shared" si="1"/>
        <v>insert into business_analytic.report.orenda values(2026, 1, '2021100500', 'Київ,Фора-005 Воскресенський,20', NULL, 16715782.67, 'TO');</v>
      </c>
      <c r="N11" t="str">
        <f t="shared" si="2"/>
        <v>insert into business_analytic.report.orenda values(2026, 2, '2021100500', 'Київ,Фора-005 Воскресенський,20', NULL, 16170574.47, 'TO');</v>
      </c>
      <c r="O11" t="str">
        <f t="shared" si="0"/>
        <v>insert into business_analytic.report.orenda values(2026, 3, '2021100500', 'Київ,Фора-005 Воскресенський,20', NULL, 17461293.1, 'TO');</v>
      </c>
      <c r="P11" t="str">
        <f t="shared" si="3"/>
        <v>insert into business_analytic.report.orenda values(2026, 4, '2021100500', 'Київ,Фора-005 Воскресенський,20', NULL, 17307949.21, 'TO');</v>
      </c>
      <c r="Q11" t="str">
        <f t="shared" si="4"/>
        <v>insert into business_analytic.report.orenda values(2026, 5, '2021100500', 'Київ,Фора-005 Воскресенський,20', NULL, 18159719.14, 'TO');</v>
      </c>
    </row>
    <row r="12" spans="1:17" x14ac:dyDescent="0.3">
      <c r="A12" t="s">
        <v>104</v>
      </c>
      <c r="B12" t="s">
        <v>696</v>
      </c>
      <c r="C12" t="s">
        <v>701</v>
      </c>
      <c r="D12" s="2">
        <v>9382544.1000000015</v>
      </c>
      <c r="E12" s="2">
        <v>8853158.620000001</v>
      </c>
      <c r="F12" s="2">
        <v>9710620.2699999996</v>
      </c>
      <c r="G12" s="2">
        <v>9730295.1199999992</v>
      </c>
      <c r="H12" s="2">
        <v>10577236.899999999</v>
      </c>
      <c r="I12" s="2">
        <v>10087082.26</v>
      </c>
      <c r="J12" s="2">
        <v>3635183.57</v>
      </c>
      <c r="K12" s="2">
        <v>61976120.839999989</v>
      </c>
      <c r="L12" s="2"/>
      <c r="M12" t="str">
        <f t="shared" si="1"/>
        <v>insert into business_analytic.report.orenda values(2026, 1, '2021100700', 'Київ,Фора-007 Будівельників,29', NULL, 9382544.1, 'TO');</v>
      </c>
      <c r="N12" t="str">
        <f t="shared" si="2"/>
        <v>insert into business_analytic.report.orenda values(2026, 2, '2021100700', 'Київ,Фора-007 Будівельників,29', NULL, 8853158.62, 'TO');</v>
      </c>
      <c r="O12" t="str">
        <f t="shared" si="0"/>
        <v>insert into business_analytic.report.orenda values(2026, 3, '2021100700', 'Київ,Фора-007 Будівельників,29', NULL, 9710620.27, 'TO');</v>
      </c>
      <c r="P12" t="str">
        <f t="shared" si="3"/>
        <v>insert into business_analytic.report.orenda values(2026, 4, '2021100700', 'Київ,Фора-007 Будівельників,29', NULL, 9730295.12, 'TO');</v>
      </c>
      <c r="Q12" t="str">
        <f t="shared" si="4"/>
        <v>insert into business_analytic.report.orenda values(2026, 5, '2021100700', 'Київ,Фора-007 Будівельників,29', NULL, 10577236.9, 'TO');</v>
      </c>
    </row>
    <row r="13" spans="1:17" x14ac:dyDescent="0.3">
      <c r="A13" t="s">
        <v>105</v>
      </c>
      <c r="B13" t="s">
        <v>432</v>
      </c>
      <c r="C13" t="s">
        <v>702</v>
      </c>
      <c r="D13" s="2">
        <v>5826813.2199999997</v>
      </c>
      <c r="E13" s="2">
        <v>5284550.46</v>
      </c>
      <c r="F13" s="2">
        <v>6126366.669999999</v>
      </c>
      <c r="G13" s="2">
        <v>6106901.7300000004</v>
      </c>
      <c r="H13" s="2">
        <v>6387724.7800000003</v>
      </c>
      <c r="I13" s="2">
        <v>6045736.29</v>
      </c>
      <c r="J13" s="2">
        <v>2256689.9499999997</v>
      </c>
      <c r="K13" s="2">
        <v>38034783.100000001</v>
      </c>
      <c r="L13" s="2"/>
      <c r="M13" t="str">
        <f t="shared" si="1"/>
        <v>insert into business_analytic.report.orenda values(2026, 1, '2021100800', 'Київ,Фора-008 Котляревського,2', NULL, 5826813.22, 'TO');</v>
      </c>
      <c r="N13" t="str">
        <f t="shared" si="2"/>
        <v>insert into business_analytic.report.orenda values(2026, 2, '2021100800', 'Київ,Фора-008 Котляревського,2', NULL, 5284550.46, 'TO');</v>
      </c>
      <c r="O13" t="str">
        <f t="shared" si="0"/>
        <v>insert into business_analytic.report.orenda values(2026, 3, '2021100800', 'Київ,Фора-008 Котляревського,2', NULL, 6126366.67, 'TO');</v>
      </c>
      <c r="P13" t="str">
        <f t="shared" si="3"/>
        <v>insert into business_analytic.report.orenda values(2026, 4, '2021100800', 'Київ,Фора-008 Котляревського,2', NULL, 6106901.73, 'TO');</v>
      </c>
      <c r="Q13" t="str">
        <f t="shared" si="4"/>
        <v>insert into business_analytic.report.orenda values(2026, 5, '2021100800', 'Київ,Фора-008 Котляревського,2', NULL, 6387724.78, 'TO');</v>
      </c>
    </row>
    <row r="14" spans="1:17" x14ac:dyDescent="0.3">
      <c r="A14" t="s">
        <v>106</v>
      </c>
      <c r="B14" t="s">
        <v>433</v>
      </c>
      <c r="C14" t="s">
        <v>703</v>
      </c>
      <c r="D14" s="2">
        <v>7755305.9499999993</v>
      </c>
      <c r="E14" s="2">
        <v>7202820.8699999992</v>
      </c>
      <c r="F14" s="2">
        <v>8146482.4699999997</v>
      </c>
      <c r="G14" s="2">
        <v>7884805.0899999999</v>
      </c>
      <c r="H14" s="2">
        <v>8559046.9500000011</v>
      </c>
      <c r="I14" s="2">
        <v>8360278.9199999999</v>
      </c>
      <c r="J14" s="2">
        <v>3002080.44</v>
      </c>
      <c r="K14" s="2">
        <v>50910820.690000005</v>
      </c>
      <c r="L14" s="2"/>
      <c r="M14" t="str">
        <f t="shared" si="1"/>
        <v>insert into business_analytic.report.orenda values(2026, 1, '2021101000', 'Київ,Фора-010 Малишка,15/1', NULL, 7755305.95, 'TO');</v>
      </c>
      <c r="N14" t="str">
        <f t="shared" si="2"/>
        <v>insert into business_analytic.report.orenda values(2026, 2, '2021101000', 'Київ,Фора-010 Малишка,15/1', NULL, 7202820.87, 'TO');</v>
      </c>
      <c r="O14" t="str">
        <f t="shared" si="0"/>
        <v>insert into business_analytic.report.orenda values(2026, 3, '2021101000', 'Київ,Фора-010 Малишка,15/1', NULL, 8146482.47, 'TO');</v>
      </c>
      <c r="P14" t="str">
        <f t="shared" si="3"/>
        <v>insert into business_analytic.report.orenda values(2026, 4, '2021101000', 'Київ,Фора-010 Малишка,15/1', NULL, 7884805.09, 'TO');</v>
      </c>
      <c r="Q14" t="str">
        <f t="shared" si="4"/>
        <v>insert into business_analytic.report.orenda values(2026, 5, '2021101000', 'Київ,Фора-010 Малишка,15/1', NULL, 8559046.95, 'TO');</v>
      </c>
    </row>
    <row r="15" spans="1:17" x14ac:dyDescent="0.3">
      <c r="A15" t="s">
        <v>278</v>
      </c>
      <c r="B15" t="s">
        <v>930</v>
      </c>
      <c r="C15" t="s">
        <v>931</v>
      </c>
      <c r="D15" s="2">
        <v>6766693.959999999</v>
      </c>
      <c r="E15" s="2">
        <v>6069921.9800000004</v>
      </c>
      <c r="F15" s="2">
        <v>6984463.54</v>
      </c>
      <c r="G15" s="2">
        <v>6961753.1100000003</v>
      </c>
      <c r="H15" s="2">
        <v>7402643.4699999997</v>
      </c>
      <c r="I15" s="2">
        <v>7192951.79</v>
      </c>
      <c r="J15" s="2">
        <v>2548036.1399999997</v>
      </c>
      <c r="K15" s="2">
        <v>43926463.989999995</v>
      </c>
      <c r="L15" s="2"/>
      <c r="M15" t="str">
        <f t="shared" si="1"/>
        <v>insert into business_analytic.report.orenda values(2026, 1, '2021101100', 'Київ,Фора-011 Харківське Шосе,9', NULL, 6766693.96, 'TO');</v>
      </c>
      <c r="N15" t="str">
        <f t="shared" si="2"/>
        <v>insert into business_analytic.report.orenda values(2026, 2, '2021101100', 'Київ,Фора-011 Харківське Шосе,9', NULL, 6069921.98, 'TO');</v>
      </c>
      <c r="O15" t="str">
        <f t="shared" si="0"/>
        <v>insert into business_analytic.report.orenda values(2026, 3, '2021101100', 'Київ,Фора-011 Харківське Шосе,9', NULL, 6984463.54, 'TO');</v>
      </c>
      <c r="P15" t="str">
        <f t="shared" si="3"/>
        <v>insert into business_analytic.report.orenda values(2026, 4, '2021101100', 'Київ,Фора-011 Харківське Шосе,9', NULL, 6961753.11, 'TO');</v>
      </c>
      <c r="Q15" t="str">
        <f t="shared" si="4"/>
        <v>insert into business_analytic.report.orenda values(2026, 5, '2021101100', 'Київ,Фора-011 Харківське Шосе,9', NULL, 7402643.47, 'TO');</v>
      </c>
    </row>
    <row r="16" spans="1:17" x14ac:dyDescent="0.3">
      <c r="A16" t="s">
        <v>107</v>
      </c>
      <c r="B16" t="s">
        <v>691</v>
      </c>
      <c r="C16" t="s">
        <v>704</v>
      </c>
      <c r="D16" s="2">
        <v>4907985.419999999</v>
      </c>
      <c r="E16" s="2">
        <v>4265354.33</v>
      </c>
      <c r="F16" s="2">
        <v>5270019.0199999996</v>
      </c>
      <c r="G16" s="2">
        <v>5198427.75</v>
      </c>
      <c r="H16" s="2">
        <v>5579184.0500000007</v>
      </c>
      <c r="I16" s="2">
        <v>5350233.8999999994</v>
      </c>
      <c r="J16" s="2">
        <v>1958948.2999999998</v>
      </c>
      <c r="K16" s="2">
        <v>32530152.770000003</v>
      </c>
      <c r="L16" s="2"/>
      <c r="M16" t="str">
        <f t="shared" si="1"/>
        <v>insert into business_analytic.report.orenda values(2026, 1, '2021101300', 'Київ,Фора-013 Каденюка,2/35', NULL, 4907985.42, 'TO');</v>
      </c>
      <c r="N16" t="str">
        <f t="shared" si="2"/>
        <v>insert into business_analytic.report.orenda values(2026, 2, '2021101300', 'Київ,Фора-013 Каденюка,2/35', NULL, 4265354.33, 'TO');</v>
      </c>
      <c r="O16" t="str">
        <f t="shared" si="0"/>
        <v>insert into business_analytic.report.orenda values(2026, 3, '2021101300', 'Київ,Фора-013 Каденюка,2/35', NULL, 5270019.02, 'TO');</v>
      </c>
      <c r="P16" t="str">
        <f t="shared" si="3"/>
        <v>insert into business_analytic.report.orenda values(2026, 4, '2021101300', 'Київ,Фора-013 Каденюка,2/35', NULL, 5198427.75, 'TO');</v>
      </c>
      <c r="Q16" t="str">
        <f t="shared" si="4"/>
        <v>insert into business_analytic.report.orenda values(2026, 5, '2021101300', 'Київ,Фора-013 Каденюка,2/35', NULL, 5579184.05, 'TO');</v>
      </c>
    </row>
    <row r="17" spans="1:17" x14ac:dyDescent="0.3">
      <c r="A17" t="s">
        <v>279</v>
      </c>
      <c r="B17" t="s">
        <v>932</v>
      </c>
      <c r="C17" t="s">
        <v>933</v>
      </c>
      <c r="D17" s="2">
        <v>5609458.6299999999</v>
      </c>
      <c r="E17" s="2">
        <v>5395303.2800000003</v>
      </c>
      <c r="F17" s="2">
        <v>6002189.1200000001</v>
      </c>
      <c r="G17" s="2">
        <v>6050389.6299999999</v>
      </c>
      <c r="H17" s="2">
        <v>6555942.8200000003</v>
      </c>
      <c r="I17" s="2">
        <v>6319393.2199999997</v>
      </c>
      <c r="J17" s="2">
        <v>2303706.52</v>
      </c>
      <c r="K17" s="2">
        <v>38236383.219999999</v>
      </c>
      <c r="L17" s="2"/>
      <c r="M17" t="str">
        <f t="shared" si="1"/>
        <v>insert into business_analytic.report.orenda values(2026, 1, '2021101400', 'Київ,Фора-014 Миропільська,19', NULL, 5609458.63, 'TO');</v>
      </c>
      <c r="N17" t="str">
        <f t="shared" si="2"/>
        <v>insert into business_analytic.report.orenda values(2026, 2, '2021101400', 'Київ,Фора-014 Миропільська,19', NULL, 5395303.28, 'TO');</v>
      </c>
      <c r="O17" t="str">
        <f t="shared" si="0"/>
        <v>insert into business_analytic.report.orenda values(2026, 3, '2021101400', 'Київ,Фора-014 Миропільська,19', NULL, 6002189.12, 'TO');</v>
      </c>
      <c r="P17" t="str">
        <f t="shared" si="3"/>
        <v>insert into business_analytic.report.orenda values(2026, 4, '2021101400', 'Київ,Фора-014 Миропільська,19', NULL, 6050389.63, 'TO');</v>
      </c>
      <c r="Q17" t="str">
        <f t="shared" si="4"/>
        <v>insert into business_analytic.report.orenda values(2026, 5, '2021101400', 'Київ,Фора-014 Миропільська,19', NULL, 6555942.82, 'TO');</v>
      </c>
    </row>
    <row r="18" spans="1:17" x14ac:dyDescent="0.3">
      <c r="A18" t="s">
        <v>108</v>
      </c>
      <c r="B18" t="s">
        <v>695</v>
      </c>
      <c r="C18" t="s">
        <v>705</v>
      </c>
      <c r="D18" s="2">
        <v>11273268.359999999</v>
      </c>
      <c r="E18" s="2">
        <v>9716389.7199999988</v>
      </c>
      <c r="F18" s="2">
        <v>11425468.520000001</v>
      </c>
      <c r="G18" s="2">
        <v>11485517.459999999</v>
      </c>
      <c r="H18" s="2">
        <v>12119475.950000001</v>
      </c>
      <c r="I18" s="2">
        <v>11372932.039999999</v>
      </c>
      <c r="J18" s="2">
        <v>4238566.4400000004</v>
      </c>
      <c r="K18" s="2">
        <v>71631618.49000001</v>
      </c>
      <c r="L18" s="2"/>
      <c r="M18" t="str">
        <f t="shared" si="1"/>
        <v>insert into business_analytic.report.orenda values(2026, 1, '2021101500', 'Київ,Фора-015 Гродненська,1/35', NULL, 11273268.36, 'TO');</v>
      </c>
      <c r="N18" t="str">
        <f t="shared" si="2"/>
        <v>insert into business_analytic.report.orenda values(2026, 2, '2021101500', 'Київ,Фора-015 Гродненська,1/35', NULL, 9716389.72, 'TO');</v>
      </c>
      <c r="O18" t="str">
        <f t="shared" si="0"/>
        <v>insert into business_analytic.report.orenda values(2026, 3, '2021101500', 'Київ,Фора-015 Гродненська,1/35', NULL, 11425468.52, 'TO');</v>
      </c>
      <c r="P18" t="str">
        <f t="shared" si="3"/>
        <v>insert into business_analytic.report.orenda values(2026, 4, '2021101500', 'Київ,Фора-015 Гродненська,1/35', NULL, 11485517.46, 'TO');</v>
      </c>
      <c r="Q18" t="str">
        <f t="shared" si="4"/>
        <v>insert into business_analytic.report.orenda values(2026, 5, '2021101500', 'Київ,Фора-015 Гродненська,1/35', NULL, 12119475.95, 'TO');</v>
      </c>
    </row>
    <row r="19" spans="1:17" x14ac:dyDescent="0.3">
      <c r="A19" t="s">
        <v>109</v>
      </c>
      <c r="B19" t="s">
        <v>688</v>
      </c>
      <c r="C19" t="s">
        <v>706</v>
      </c>
      <c r="D19" s="2">
        <v>13578171.310000001</v>
      </c>
      <c r="E19" s="2">
        <v>12493438.729999999</v>
      </c>
      <c r="F19" s="2">
        <v>14241187.849999998</v>
      </c>
      <c r="G19" s="2">
        <v>14355228.339999998</v>
      </c>
      <c r="H19" s="2">
        <v>15322157.1</v>
      </c>
      <c r="I19" s="2">
        <v>14596767.459999999</v>
      </c>
      <c r="J19" s="2">
        <v>5242109.1199999992</v>
      </c>
      <c r="K19" s="2">
        <v>89829059.909999996</v>
      </c>
      <c r="L19" s="2"/>
      <c r="M19" t="str">
        <f t="shared" si="1"/>
        <v>insert into business_analytic.report.orenda values(2026, 1, '2021101600', 'Київ,Фора-016 Алматинська,54', NULL, 13578171.31, 'TO');</v>
      </c>
      <c r="N19" t="str">
        <f t="shared" si="2"/>
        <v>insert into business_analytic.report.orenda values(2026, 2, '2021101600', 'Київ,Фора-016 Алматинська,54', NULL, 12493438.73, 'TO');</v>
      </c>
      <c r="O19" t="str">
        <f t="shared" si="0"/>
        <v>insert into business_analytic.report.orenda values(2026, 3, '2021101600', 'Київ,Фора-016 Алматинська,54', NULL, 14241187.85, 'TO');</v>
      </c>
      <c r="P19" t="str">
        <f t="shared" si="3"/>
        <v>insert into business_analytic.report.orenda values(2026, 4, '2021101600', 'Київ,Фора-016 Алматинська,54', NULL, 14355228.34, 'TO');</v>
      </c>
      <c r="Q19" t="str">
        <f t="shared" si="4"/>
        <v>insert into business_analytic.report.orenda values(2026, 5, '2021101600', 'Київ,Фора-016 Алматинська,54', NULL, 15322157.1, 'TO');</v>
      </c>
    </row>
    <row r="20" spans="1:17" x14ac:dyDescent="0.3">
      <c r="A20" t="s">
        <v>110</v>
      </c>
      <c r="B20" t="s">
        <v>434</v>
      </c>
      <c r="C20" t="s">
        <v>707</v>
      </c>
      <c r="D20" s="2">
        <v>15288868.549999999</v>
      </c>
      <c r="E20" s="2">
        <v>14183142.890000001</v>
      </c>
      <c r="F20" s="2">
        <v>16628747.419999998</v>
      </c>
      <c r="G20" s="2">
        <v>16188451.279999997</v>
      </c>
      <c r="H20" s="2">
        <v>17522186.749999996</v>
      </c>
      <c r="I20" s="2">
        <v>16410379.1</v>
      </c>
      <c r="J20" s="2">
        <v>5723874.209999999</v>
      </c>
      <c r="K20" s="2">
        <v>101945650.19999999</v>
      </c>
      <c r="L20" s="2"/>
      <c r="M20" t="str">
        <f t="shared" si="1"/>
        <v>insert into business_analytic.report.orenda values(2026, 1, '2021101900', 'Київ,Фора-018 Голосіївський,104', NULL, 15288868.55, 'TO');</v>
      </c>
      <c r="N20" t="str">
        <f t="shared" si="2"/>
        <v>insert into business_analytic.report.orenda values(2026, 2, '2021101900', 'Київ,Фора-018 Голосіївський,104', NULL, 14183142.89, 'TO');</v>
      </c>
      <c r="O20" t="str">
        <f t="shared" si="0"/>
        <v>insert into business_analytic.report.orenda values(2026, 3, '2021101900', 'Київ,Фора-018 Голосіївський,104', NULL, 16628747.42, 'TO');</v>
      </c>
      <c r="P20" t="str">
        <f t="shared" si="3"/>
        <v>insert into business_analytic.report.orenda values(2026, 4, '2021101900', 'Київ,Фора-018 Голосіївський,104', NULL, 16188451.28, 'TO');</v>
      </c>
      <c r="Q20" t="str">
        <f t="shared" si="4"/>
        <v>insert into business_analytic.report.orenda values(2026, 5, '2021101900', 'Київ,Фора-018 Голосіївський,104', NULL, 17522186.75, 'TO');</v>
      </c>
    </row>
    <row r="21" spans="1:17" x14ac:dyDescent="0.3">
      <c r="A21" t="s">
        <v>111</v>
      </c>
      <c r="B21" t="s">
        <v>435</v>
      </c>
      <c r="C21" t="s">
        <v>708</v>
      </c>
      <c r="D21" s="2">
        <v>8410910.8699999992</v>
      </c>
      <c r="E21" s="2">
        <v>7788275.8399999999</v>
      </c>
      <c r="F21" s="2">
        <v>9061974.5299999993</v>
      </c>
      <c r="G21" s="2">
        <v>8940294.709999999</v>
      </c>
      <c r="H21" s="2">
        <v>9215757.6799999997</v>
      </c>
      <c r="I21" s="2">
        <v>8953371.4799999986</v>
      </c>
      <c r="J21" s="2">
        <v>3273407.4</v>
      </c>
      <c r="K21" s="2">
        <v>55643992.50999999</v>
      </c>
      <c r="L21" s="2"/>
      <c r="M21" t="str">
        <f t="shared" si="1"/>
        <v>insert into business_analytic.report.orenda values(2026, 1, '2021102000', 'Київ,Фора-017 Миропільська,1', NULL, 8410910.87, 'TO');</v>
      </c>
      <c r="N21" t="str">
        <f t="shared" si="2"/>
        <v>insert into business_analytic.report.orenda values(2026, 2, '2021102000', 'Київ,Фора-017 Миропільська,1', NULL, 7788275.84, 'TO');</v>
      </c>
      <c r="O21" t="str">
        <f t="shared" si="0"/>
        <v>insert into business_analytic.report.orenda values(2026, 3, '2021102000', 'Київ,Фора-017 Миропільська,1', NULL, 9061974.53, 'TO');</v>
      </c>
      <c r="P21" t="str">
        <f t="shared" si="3"/>
        <v>insert into business_analytic.report.orenda values(2026, 4, '2021102000', 'Київ,Фора-017 Миропільська,1', NULL, 8940294.71, 'TO');</v>
      </c>
      <c r="Q21" t="str">
        <f t="shared" si="4"/>
        <v>insert into business_analytic.report.orenda values(2026, 5, '2021102000', 'Київ,Фора-017 Миропільська,1', NULL, 9215757.68, 'TO');</v>
      </c>
    </row>
    <row r="22" spans="1:17" x14ac:dyDescent="0.3">
      <c r="A22" t="s">
        <v>112</v>
      </c>
      <c r="B22" t="s">
        <v>436</v>
      </c>
      <c r="C22" t="s">
        <v>709</v>
      </c>
      <c r="D22" s="2">
        <v>8669780.3999999985</v>
      </c>
      <c r="E22" s="2">
        <v>7800848.379999999</v>
      </c>
      <c r="F22" s="2">
        <v>8911593.6899999995</v>
      </c>
      <c r="G22" s="2">
        <v>8841959.8499999978</v>
      </c>
      <c r="H22" s="2">
        <v>9307793.9100000001</v>
      </c>
      <c r="I22" s="2">
        <v>8883674.0000000019</v>
      </c>
      <c r="J22" s="2">
        <v>3288282.34</v>
      </c>
      <c r="K22" s="2">
        <v>55703932.57</v>
      </c>
      <c r="L22" s="2"/>
      <c r="M22" t="str">
        <f t="shared" si="1"/>
        <v>insert into business_analytic.report.orenda values(2026, 1, '2021102400', 'Київ,Фора-019 Верховної Ради,27', NULL, 8669780.4, 'TO');</v>
      </c>
      <c r="N22" t="str">
        <f t="shared" si="2"/>
        <v>insert into business_analytic.report.orenda values(2026, 2, '2021102400', 'Київ,Фора-019 Верховної Ради,27', NULL, 7800848.38, 'TO');</v>
      </c>
      <c r="O22" t="str">
        <f t="shared" si="0"/>
        <v>insert into business_analytic.report.orenda values(2026, 3, '2021102400', 'Київ,Фора-019 Верховної Ради,27', NULL, 8911593.69, 'TO');</v>
      </c>
      <c r="P22" t="str">
        <f t="shared" si="3"/>
        <v>insert into business_analytic.report.orenda values(2026, 4, '2021102400', 'Київ,Фора-019 Верховної Ради,27', NULL, 8841959.85, 'TO');</v>
      </c>
      <c r="Q22" t="str">
        <f t="shared" si="4"/>
        <v>insert into business_analytic.report.orenda values(2026, 5, '2021102400', 'Київ,Фора-019 Верховної Ради,27', NULL, 9307793.91, 'TO');</v>
      </c>
    </row>
    <row r="23" spans="1:17" x14ac:dyDescent="0.3">
      <c r="A23" t="s">
        <v>280</v>
      </c>
      <c r="B23" t="s">
        <v>934</v>
      </c>
      <c r="C23" t="s">
        <v>935</v>
      </c>
      <c r="D23" s="2">
        <v>9960415.2599999998</v>
      </c>
      <c r="E23" s="2">
        <v>9915736.7999999989</v>
      </c>
      <c r="F23" s="2">
        <v>10999892.33</v>
      </c>
      <c r="G23" s="2">
        <v>10837703.879999999</v>
      </c>
      <c r="H23" s="2">
        <v>11537851.6</v>
      </c>
      <c r="I23" s="2">
        <v>10637484.699999999</v>
      </c>
      <c r="J23" s="2">
        <v>3927762.3099999996</v>
      </c>
      <c r="K23" s="2">
        <v>67816846.879999995</v>
      </c>
      <c r="L23" s="2"/>
      <c r="M23" t="str">
        <f t="shared" si="1"/>
        <v>insert into business_analytic.report.orenda values(2026, 1, '2021102500', 'Київ,Фора-020 Левицького,5', NULL, 9960415.26, 'TO');</v>
      </c>
      <c r="N23" t="str">
        <f t="shared" si="2"/>
        <v>insert into business_analytic.report.orenda values(2026, 2, '2021102500', 'Київ,Фора-020 Левицького,5', NULL, 9915736.8, 'TO');</v>
      </c>
      <c r="O23" t="str">
        <f t="shared" si="0"/>
        <v>insert into business_analytic.report.orenda values(2026, 3, '2021102500', 'Київ,Фора-020 Левицького,5', NULL, 10999892.33, 'TO');</v>
      </c>
      <c r="P23" t="str">
        <f t="shared" si="3"/>
        <v>insert into business_analytic.report.orenda values(2026, 4, '2021102500', 'Київ,Фора-020 Левицького,5', NULL, 10837703.88, 'TO');</v>
      </c>
      <c r="Q23" t="str">
        <f t="shared" si="4"/>
        <v>insert into business_analytic.report.orenda values(2026, 5, '2021102500', 'Київ,Фора-020 Левицького,5', NULL, 11537851.6, 'TO');</v>
      </c>
    </row>
    <row r="24" spans="1:17" x14ac:dyDescent="0.3">
      <c r="A24" t="s">
        <v>281</v>
      </c>
      <c r="B24" t="s">
        <v>936</v>
      </c>
      <c r="C24" t="s">
        <v>937</v>
      </c>
      <c r="D24" s="2">
        <v>5260829.7899999991</v>
      </c>
      <c r="E24" s="2">
        <v>4943850.18</v>
      </c>
      <c r="F24" s="2">
        <v>5495470.3799999999</v>
      </c>
      <c r="G24" s="2">
        <v>5413777.7199999988</v>
      </c>
      <c r="H24" s="2">
        <v>5703727.6099999994</v>
      </c>
      <c r="I24" s="2">
        <v>5290337.75</v>
      </c>
      <c r="J24" s="2">
        <v>1873176.6400000001</v>
      </c>
      <c r="K24" s="2">
        <v>33981170.069999993</v>
      </c>
      <c r="L24" s="2"/>
      <c r="M24" t="str">
        <f t="shared" si="1"/>
        <v>insert into business_analytic.report.orenda values(2026, 1, '2021102600', 'Київ,Фора-021 Воскресенський,23Б', NULL, 5260829.79, 'TO');</v>
      </c>
      <c r="N24" t="str">
        <f t="shared" si="2"/>
        <v>insert into business_analytic.report.orenda values(2026, 2, '2021102600', 'Київ,Фора-021 Воскресенський,23Б', NULL, 4943850.18, 'TO');</v>
      </c>
      <c r="O24" t="str">
        <f t="shared" si="2"/>
        <v>insert into business_analytic.report.orenda values(2026, 3, '2021102600', 'Київ,Фора-021 Воскресенський,23Б', NULL, 5495470.38, 'TO');</v>
      </c>
      <c r="P24" t="str">
        <f t="shared" si="3"/>
        <v>insert into business_analytic.report.orenda values(2026, 4, '2021102600', 'Київ,Фора-021 Воскресенський,23Б', NULL, 5413777.72, 'TO');</v>
      </c>
      <c r="Q24" t="str">
        <f t="shared" si="4"/>
        <v>insert into business_analytic.report.orenda values(2026, 5, '2021102600', 'Київ,Фора-021 Воскресенський,23Б', NULL, 5703727.61, 'TO');</v>
      </c>
    </row>
    <row r="25" spans="1:17" x14ac:dyDescent="0.3">
      <c r="A25" t="s">
        <v>113</v>
      </c>
      <c r="B25" t="s">
        <v>437</v>
      </c>
      <c r="C25" t="s">
        <v>710</v>
      </c>
      <c r="D25" s="2">
        <v>7755343.2899999991</v>
      </c>
      <c r="E25" s="2">
        <v>7700923.1999999993</v>
      </c>
      <c r="F25" s="2">
        <v>8391929.8699999992</v>
      </c>
      <c r="G25" s="2">
        <v>8233392.8199999994</v>
      </c>
      <c r="H25" s="2">
        <v>8710572.459999999</v>
      </c>
      <c r="I25" s="2">
        <v>7931417.709999999</v>
      </c>
      <c r="J25" s="2">
        <v>2828507.14</v>
      </c>
      <c r="K25" s="2">
        <v>51552086.489999995</v>
      </c>
      <c r="L25" s="2"/>
      <c r="M25" t="str">
        <f t="shared" si="1"/>
        <v>insert into business_analytic.report.orenda values(2026, 1, '2021102900', 'Київ,Фора-022 Воскресенський,14', NULL, 7755343.29, 'TO');</v>
      </c>
      <c r="N25" t="str">
        <f t="shared" si="2"/>
        <v>insert into business_analytic.report.orenda values(2026, 2, '2021102900', 'Київ,Фора-022 Воскресенський,14', NULL, 7700923.2, 'TO');</v>
      </c>
      <c r="O25" t="str">
        <f t="shared" si="2"/>
        <v>insert into business_analytic.report.orenda values(2026, 3, '2021102900', 'Київ,Фора-022 Воскресенський,14', NULL, 8391929.87, 'TO');</v>
      </c>
      <c r="P25" t="str">
        <f t="shared" si="3"/>
        <v>insert into business_analytic.report.orenda values(2026, 4, '2021102900', 'Київ,Фора-022 Воскресенський,14', NULL, 8233392.82, 'TO');</v>
      </c>
      <c r="Q25" t="str">
        <f t="shared" si="4"/>
        <v>insert into business_analytic.report.orenda values(2026, 5, '2021102900', 'Київ,Фора-022 Воскресенський,14', NULL, 8710572.46, 'TO');</v>
      </c>
    </row>
    <row r="26" spans="1:17" x14ac:dyDescent="0.3">
      <c r="A26" t="s">
        <v>114</v>
      </c>
      <c r="B26" t="s">
        <v>689</v>
      </c>
      <c r="C26" t="s">
        <v>711</v>
      </c>
      <c r="D26" s="2">
        <v>10933291.369999999</v>
      </c>
      <c r="E26" s="2">
        <v>10029904.82</v>
      </c>
      <c r="F26" s="2">
        <v>11532076.370000001</v>
      </c>
      <c r="G26" s="2">
        <v>11517130.25</v>
      </c>
      <c r="H26" s="2">
        <v>12174275.489999998</v>
      </c>
      <c r="I26" s="2">
        <v>11178883.800000001</v>
      </c>
      <c r="J26" s="2">
        <v>4104508.09</v>
      </c>
      <c r="K26" s="2">
        <v>71470070.189999983</v>
      </c>
      <c r="L26" s="2"/>
      <c r="M26" t="str">
        <f t="shared" si="1"/>
        <v>insert into business_analytic.report.orenda values(2026, 1, '2021103000', 'Київ,Фора-023 Верховної Ради,17', NULL, 10933291.37, 'TO');</v>
      </c>
      <c r="N26" t="str">
        <f t="shared" si="2"/>
        <v>insert into business_analytic.report.orenda values(2026, 2, '2021103000', 'Київ,Фора-023 Верховної Ради,17', NULL, 10029904.82, 'TO');</v>
      </c>
      <c r="O26" t="str">
        <f t="shared" si="2"/>
        <v>insert into business_analytic.report.orenda values(2026, 3, '2021103000', 'Київ,Фора-023 Верховної Ради,17', NULL, 11532076.37, 'TO');</v>
      </c>
      <c r="P26" t="str">
        <f t="shared" si="3"/>
        <v>insert into business_analytic.report.orenda values(2026, 4, '2021103000', 'Київ,Фора-023 Верховної Ради,17', NULL, 11517130.25, 'TO');</v>
      </c>
      <c r="Q26" t="str">
        <f t="shared" si="4"/>
        <v>insert into business_analytic.report.orenda values(2026, 5, '2021103000', 'Київ,Фора-023 Верховної Ради,17', NULL, 12174275.49, 'TO');</v>
      </c>
    </row>
    <row r="27" spans="1:17" x14ac:dyDescent="0.3">
      <c r="A27" t="s">
        <v>115</v>
      </c>
      <c r="B27" t="s">
        <v>438</v>
      </c>
      <c r="C27" t="s">
        <v>712</v>
      </c>
      <c r="D27" s="2">
        <v>9359592.5899999999</v>
      </c>
      <c r="E27" s="2">
        <v>9504124.8999999985</v>
      </c>
      <c r="F27" s="2">
        <v>11159749.02</v>
      </c>
      <c r="G27" s="2">
        <v>10224878.130000001</v>
      </c>
      <c r="H27" s="2">
        <v>11051715.519999998</v>
      </c>
      <c r="I27" s="2">
        <v>10072232.09</v>
      </c>
      <c r="J27" s="2">
        <v>3610333.7299999995</v>
      </c>
      <c r="K27" s="2">
        <v>64982625.980000004</v>
      </c>
      <c r="L27" s="2"/>
      <c r="M27" t="str">
        <f t="shared" si="1"/>
        <v>insert into business_analytic.report.orenda values(2026, 1, '2021103300', 'Київ,Фора-027 Вірського,6А', NULL, 9359592.59, 'TO');</v>
      </c>
      <c r="N27" t="str">
        <f t="shared" si="2"/>
        <v>insert into business_analytic.report.orenda values(2026, 2, '2021103300', 'Київ,Фора-027 Вірського,6А', NULL, 9504124.9, 'TO');</v>
      </c>
      <c r="O27" t="str">
        <f t="shared" si="2"/>
        <v>insert into business_analytic.report.orenda values(2026, 3, '2021103300', 'Київ,Фора-027 Вірського,6А', NULL, 11159749.02, 'TO');</v>
      </c>
      <c r="P27" t="str">
        <f t="shared" si="3"/>
        <v>insert into business_analytic.report.orenda values(2026, 4, '2021103300', 'Київ,Фора-027 Вірського,6А', NULL, 10224878.13, 'TO');</v>
      </c>
      <c r="Q27" t="str">
        <f t="shared" si="4"/>
        <v>insert into business_analytic.report.orenda values(2026, 5, '2021103300', 'Київ,Фора-027 Вірського,6А', NULL, 11051715.52, 'TO');</v>
      </c>
    </row>
    <row r="28" spans="1:17" x14ac:dyDescent="0.3">
      <c r="A28" t="s">
        <v>116</v>
      </c>
      <c r="B28" t="s">
        <v>675</v>
      </c>
      <c r="C28" t="s">
        <v>713</v>
      </c>
      <c r="D28" s="2">
        <v>11351403.919999998</v>
      </c>
      <c r="E28" s="2">
        <v>11078007.219999999</v>
      </c>
      <c r="F28" s="2">
        <v>12366032.950000001</v>
      </c>
      <c r="G28" s="2">
        <v>12302013.630000001</v>
      </c>
      <c r="H28" s="2">
        <v>13150031.779999999</v>
      </c>
      <c r="I28" s="2">
        <v>11791142.119999999</v>
      </c>
      <c r="J28" s="2">
        <v>4101205.5199999996</v>
      </c>
      <c r="K28" s="2">
        <v>76139837.139999986</v>
      </c>
      <c r="L28" s="2"/>
      <c r="M28" t="str">
        <f t="shared" si="1"/>
        <v>insert into business_analytic.report.orenda values(2026, 1, '2021103800', 'Київ,Фора-028 Голосіївський,118', NULL, 11351403.92, 'TO');</v>
      </c>
      <c r="N28" t="str">
        <f t="shared" si="2"/>
        <v>insert into business_analytic.report.orenda values(2026, 2, '2021103800', 'Київ,Фора-028 Голосіївський,118', NULL, 11078007.22, 'TO');</v>
      </c>
      <c r="O28" t="str">
        <f t="shared" si="2"/>
        <v>insert into business_analytic.report.orenda values(2026, 3, '2021103800', 'Київ,Фора-028 Голосіївський,118', NULL, 12366032.95, 'TO');</v>
      </c>
      <c r="P28" t="str">
        <f t="shared" si="3"/>
        <v>insert into business_analytic.report.orenda values(2026, 4, '2021103800', 'Київ,Фора-028 Голосіївський,118', NULL, 12302013.63, 'TO');</v>
      </c>
      <c r="Q28" t="str">
        <f t="shared" si="4"/>
        <v>insert into business_analytic.report.orenda values(2026, 5, '2021103800', 'Київ,Фора-028 Голосіївський,118', NULL, 13150031.78, 'TO');</v>
      </c>
    </row>
    <row r="29" spans="1:17" x14ac:dyDescent="0.3">
      <c r="A29" t="s">
        <v>117</v>
      </c>
      <c r="B29" t="s">
        <v>683</v>
      </c>
      <c r="C29" t="s">
        <v>714</v>
      </c>
      <c r="D29" s="2">
        <v>3227229.02</v>
      </c>
      <c r="E29" s="2">
        <v>2936562.6999999993</v>
      </c>
      <c r="F29" s="2">
        <v>3309326.47</v>
      </c>
      <c r="G29" s="2">
        <v>3407336.9899999998</v>
      </c>
      <c r="H29" s="2">
        <v>3739898.0999999996</v>
      </c>
      <c r="I29" s="2">
        <v>3566346.6</v>
      </c>
      <c r="J29" s="2">
        <v>1301449.8899999999</v>
      </c>
      <c r="K29" s="2">
        <v>21488149.77</v>
      </c>
      <c r="L29" s="2"/>
      <c r="M29" t="str">
        <f t="shared" si="1"/>
        <v>insert into business_analytic.report.orenda values(2026, 1, '2021104300', 'Київ,Фора-447 Вишняківська,17', NULL, 3227229.02, 'TO');</v>
      </c>
      <c r="N29" t="str">
        <f t="shared" si="2"/>
        <v>insert into business_analytic.report.orenda values(2026, 2, '2021104300', 'Київ,Фора-447 Вишняківська,17', NULL, 2936562.7, 'TO');</v>
      </c>
      <c r="O29" t="str">
        <f t="shared" si="2"/>
        <v>insert into business_analytic.report.orenda values(2026, 3, '2021104300', 'Київ,Фора-447 Вишняківська,17', NULL, 3309326.47, 'TO');</v>
      </c>
      <c r="P29" t="str">
        <f t="shared" si="3"/>
        <v>insert into business_analytic.report.orenda values(2026, 4, '2021104300', 'Київ,Фора-447 Вишняківська,17', NULL, 3407336.99, 'TO');</v>
      </c>
      <c r="Q29" t="str">
        <f t="shared" si="4"/>
        <v>insert into business_analytic.report.orenda values(2026, 5, '2021104300', 'Київ,Фора-447 Вишняківська,17', NULL, 3739898.1, 'TO');</v>
      </c>
    </row>
    <row r="30" spans="1:17" x14ac:dyDescent="0.3">
      <c r="A30" t="s">
        <v>118</v>
      </c>
      <c r="B30" t="s">
        <v>439</v>
      </c>
      <c r="C30" t="s">
        <v>715</v>
      </c>
      <c r="D30" s="2">
        <v>7340504.5300000003</v>
      </c>
      <c r="E30" s="2">
        <v>6749270.0999999996</v>
      </c>
      <c r="F30" s="2">
        <v>7373242.5800000001</v>
      </c>
      <c r="G30" s="2">
        <v>7540743.5199999996</v>
      </c>
      <c r="H30" s="2">
        <v>8076039.169999999</v>
      </c>
      <c r="I30" s="2">
        <v>7754030.6600000001</v>
      </c>
      <c r="J30" s="2">
        <v>2889136.9899999998</v>
      </c>
      <c r="K30" s="2">
        <v>47722967.549999997</v>
      </c>
      <c r="L30" s="2"/>
      <c r="M30" t="str">
        <f t="shared" si="1"/>
        <v>insert into business_analytic.report.orenda values(2026, 1, '2021104400', 'Київ,Фора-033 Зодчих,52', NULL, 7340504.53, 'TO');</v>
      </c>
      <c r="N30" t="str">
        <f t="shared" si="2"/>
        <v>insert into business_analytic.report.orenda values(2026, 2, '2021104400', 'Київ,Фора-033 Зодчих,52', NULL, 6749270.1, 'TO');</v>
      </c>
      <c r="O30" t="str">
        <f t="shared" si="2"/>
        <v>insert into business_analytic.report.orenda values(2026, 3, '2021104400', 'Київ,Фора-033 Зодчих,52', NULL, 7373242.58, 'TO');</v>
      </c>
      <c r="P30" t="str">
        <f t="shared" si="3"/>
        <v>insert into business_analytic.report.orenda values(2026, 4, '2021104400', 'Київ,Фора-033 Зодчих,52', NULL, 7540743.52, 'TO');</v>
      </c>
      <c r="Q30" t="str">
        <f t="shared" si="4"/>
        <v>insert into business_analytic.report.orenda values(2026, 5, '2021104400', 'Київ,Фора-033 Зодчих,52', NULL, 8076039.17, 'TO');</v>
      </c>
    </row>
    <row r="31" spans="1:17" x14ac:dyDescent="0.3">
      <c r="A31" t="s">
        <v>282</v>
      </c>
      <c r="B31" t="s">
        <v>938</v>
      </c>
      <c r="C31" t="s">
        <v>939</v>
      </c>
      <c r="D31" s="2">
        <v>8156996.0199999996</v>
      </c>
      <c r="E31" s="2">
        <v>7062222.1199999992</v>
      </c>
      <c r="F31" s="2">
        <v>8285722.2199999997</v>
      </c>
      <c r="G31" s="2">
        <v>8349897.3300000001</v>
      </c>
      <c r="H31" s="2">
        <v>8900867.3300000001</v>
      </c>
      <c r="I31" s="2">
        <v>8418689.8300000001</v>
      </c>
      <c r="J31" s="2">
        <v>3023511.3</v>
      </c>
      <c r="K31" s="2">
        <v>52197906.150000006</v>
      </c>
      <c r="L31" s="2"/>
      <c r="M31" t="str">
        <f t="shared" si="1"/>
        <v>insert into business_analytic.report.orenda values(2026, 1, '2021105400', 'Київ,Фора-039 Горлівська,124/143', NULL, 8156996.02, 'TO');</v>
      </c>
      <c r="N31" t="str">
        <f t="shared" si="2"/>
        <v>insert into business_analytic.report.orenda values(2026, 2, '2021105400', 'Київ,Фора-039 Горлівська,124/143', NULL, 7062222.12, 'TO');</v>
      </c>
      <c r="O31" t="str">
        <f t="shared" si="2"/>
        <v>insert into business_analytic.report.orenda values(2026, 3, '2021105400', 'Київ,Фора-039 Горлівська,124/143', NULL, 8285722.22, 'TO');</v>
      </c>
      <c r="P31" t="str">
        <f t="shared" si="3"/>
        <v>insert into business_analytic.report.orenda values(2026, 4, '2021105400', 'Київ,Фора-039 Горлівська,124/143', NULL, 8349897.33, 'TO');</v>
      </c>
      <c r="Q31" t="str">
        <f t="shared" si="4"/>
        <v>insert into business_analytic.report.orenda values(2026, 5, '2021105400', 'Київ,Фора-039 Горлівська,124/143', NULL, 8900867.33, 'TO');</v>
      </c>
    </row>
    <row r="32" spans="1:17" x14ac:dyDescent="0.3">
      <c r="A32" t="s">
        <v>119</v>
      </c>
      <c r="B32" t="s">
        <v>693</v>
      </c>
      <c r="C32" t="s">
        <v>716</v>
      </c>
      <c r="D32" s="2">
        <v>7063938.2699999996</v>
      </c>
      <c r="E32" s="2">
        <v>6573051.6999999993</v>
      </c>
      <c r="F32" s="2">
        <v>7476412.1899999985</v>
      </c>
      <c r="G32" s="2">
        <v>7093744.6399999997</v>
      </c>
      <c r="H32" s="2">
        <v>7570792.1200000001</v>
      </c>
      <c r="I32" s="2">
        <v>7014864.1199999992</v>
      </c>
      <c r="J32" s="2">
        <v>2530078.44</v>
      </c>
      <c r="K32" s="2">
        <v>45322881.479999997</v>
      </c>
      <c r="L32" s="2"/>
      <c r="M32" t="str">
        <f t="shared" si="1"/>
        <v>insert into business_analytic.report.orenda values(2026, 1, '2021105500', 'Київ,Фора-041 Бажана,30', NULL, 7063938.27, 'TO');</v>
      </c>
      <c r="N32" t="str">
        <f t="shared" si="2"/>
        <v>insert into business_analytic.report.orenda values(2026, 2, '2021105500', 'Київ,Фора-041 Бажана,30', NULL, 6573051.7, 'TO');</v>
      </c>
      <c r="O32" t="str">
        <f t="shared" si="2"/>
        <v>insert into business_analytic.report.orenda values(2026, 3, '2021105500', 'Київ,Фора-041 Бажана,30', NULL, 7476412.19, 'TO');</v>
      </c>
      <c r="P32" t="str">
        <f t="shared" si="3"/>
        <v>insert into business_analytic.report.orenda values(2026, 4, '2021105500', 'Київ,Фора-041 Бажана,30', NULL, 7093744.64, 'TO');</v>
      </c>
      <c r="Q32" t="str">
        <f t="shared" si="4"/>
        <v>insert into business_analytic.report.orenda values(2026, 5, '2021105500', 'Київ,Фора-041 Бажана,30', NULL, 7570792.12, 'TO');</v>
      </c>
    </row>
    <row r="33" spans="1:17" x14ac:dyDescent="0.3">
      <c r="A33" t="s">
        <v>283</v>
      </c>
      <c r="B33" t="s">
        <v>940</v>
      </c>
      <c r="C33" t="s">
        <v>941</v>
      </c>
      <c r="D33" s="2">
        <v>5294674.18</v>
      </c>
      <c r="E33" s="2">
        <v>4902707.83</v>
      </c>
      <c r="F33" s="2">
        <v>5263559.18</v>
      </c>
      <c r="G33" s="2">
        <v>5141787.5</v>
      </c>
      <c r="H33" s="2">
        <v>5546147.9799999995</v>
      </c>
      <c r="I33" s="2">
        <v>5183319.6800000006</v>
      </c>
      <c r="J33" s="2">
        <v>1860621.26</v>
      </c>
      <c r="K33" s="2">
        <v>33192817.609999999</v>
      </c>
      <c r="L33" s="2"/>
      <c r="M33" t="str">
        <f t="shared" si="1"/>
        <v>insert into business_analytic.report.orenda values(2026, 1, '2021105600', 'Київ,Фора-042 Воскресенський,44', NULL, 5294674.18, 'TO');</v>
      </c>
      <c r="N33" t="str">
        <f t="shared" si="2"/>
        <v>insert into business_analytic.report.orenda values(2026, 2, '2021105600', 'Київ,Фора-042 Воскресенський,44', NULL, 4902707.83, 'TO');</v>
      </c>
      <c r="O33" t="str">
        <f t="shared" si="2"/>
        <v>insert into business_analytic.report.orenda values(2026, 3, '2021105600', 'Київ,Фора-042 Воскресенський,44', NULL, 5263559.18, 'TO');</v>
      </c>
      <c r="P33" t="str">
        <f t="shared" si="3"/>
        <v>insert into business_analytic.report.orenda values(2026, 4, '2021105600', 'Київ,Фора-042 Воскресенський,44', NULL, 5141787.5, 'TO');</v>
      </c>
      <c r="Q33" t="str">
        <f t="shared" si="4"/>
        <v>insert into business_analytic.report.orenda values(2026, 5, '2021105600', 'Київ,Фора-042 Воскресенський,44', NULL, 5546147.98, 'TO');</v>
      </c>
    </row>
    <row r="34" spans="1:17" x14ac:dyDescent="0.3">
      <c r="A34" t="s">
        <v>284</v>
      </c>
      <c r="B34" t="s">
        <v>942</v>
      </c>
      <c r="C34" t="s">
        <v>943</v>
      </c>
      <c r="D34" s="2">
        <v>1764098.32</v>
      </c>
      <c r="E34" s="2"/>
      <c r="F34" s="2">
        <v>2189241.5499999998</v>
      </c>
      <c r="G34" s="2">
        <v>8931937.4699999988</v>
      </c>
      <c r="H34" s="2">
        <v>9283384.9199999999</v>
      </c>
      <c r="I34" s="2">
        <v>8861408.4199999999</v>
      </c>
      <c r="J34" s="2">
        <v>3358998.16</v>
      </c>
      <c r="K34" s="2">
        <v>34389068.839999996</v>
      </c>
      <c r="L34" s="2"/>
      <c r="M34" t="str">
        <f t="shared" si="1"/>
        <v>insert into business_analytic.report.orenda values(2026, 1, '2021106100', 'Бровари,Фора-046 Броварської Сотні,12', NULL, 1764098.32, 'TO');</v>
      </c>
      <c r="N34" t="str">
        <f t="shared" si="2"/>
        <v>insert into business_analytic.report.orenda values(2026, 2, '2021106100', 'Бровари,Фора-046 Броварської Сотні,12', NULL, 0, 'TO');</v>
      </c>
      <c r="O34" t="str">
        <f t="shared" si="2"/>
        <v>insert into business_analytic.report.orenda values(2026, 3, '2021106100', 'Бровари,Фора-046 Броварської Сотні,12', NULL, 2189241.55, 'TO');</v>
      </c>
      <c r="P34" t="str">
        <f t="shared" si="3"/>
        <v>insert into business_analytic.report.orenda values(2026, 4, '2021106100', 'Бровари,Фора-046 Броварської Сотні,12', NULL, 8931937.47, 'TO');</v>
      </c>
      <c r="Q34" t="str">
        <f t="shared" si="4"/>
        <v>insert into business_analytic.report.orenda values(2026, 5, '2021106100', 'Бровари,Фора-046 Броварської Сотні,12', NULL, 9283384.92, 'TO');</v>
      </c>
    </row>
    <row r="35" spans="1:17" x14ac:dyDescent="0.3">
      <c r="A35" t="s">
        <v>285</v>
      </c>
      <c r="B35" t="s">
        <v>944</v>
      </c>
      <c r="C35" t="s">
        <v>945</v>
      </c>
      <c r="D35" s="2">
        <v>9321400.6400000006</v>
      </c>
      <c r="E35" s="2">
        <v>8043137.0599999996</v>
      </c>
      <c r="F35" s="2">
        <v>9293566.0999999996</v>
      </c>
      <c r="G35" s="2">
        <v>9422566.7400000002</v>
      </c>
      <c r="H35" s="2">
        <v>9567986.7300000023</v>
      </c>
      <c r="I35" s="2">
        <v>8992206.6199999992</v>
      </c>
      <c r="J35" s="2">
        <v>3450544.3899999997</v>
      </c>
      <c r="K35" s="2">
        <v>58091408.280000001</v>
      </c>
      <c r="L35" s="2"/>
      <c r="M35" t="str">
        <f t="shared" si="1"/>
        <v>insert into business_analytic.report.orenda values(2026, 1, '2021106200', 'Київ,Фора-047 Мрії,24', NULL, 9321400.64, 'TO');</v>
      </c>
      <c r="N35" t="str">
        <f t="shared" si="2"/>
        <v>insert into business_analytic.report.orenda values(2026, 2, '2021106200', 'Київ,Фора-047 Мрії,24', NULL, 8043137.06, 'TO');</v>
      </c>
      <c r="O35" t="str">
        <f t="shared" si="2"/>
        <v>insert into business_analytic.report.orenda values(2026, 3, '2021106200', 'Київ,Фора-047 Мрії,24', NULL, 9293566.1, 'TO');</v>
      </c>
      <c r="P35" t="str">
        <f t="shared" si="3"/>
        <v>insert into business_analytic.report.orenda values(2026, 4, '2021106200', 'Київ,Фора-047 Мрії,24', NULL, 9422566.74, 'TO');</v>
      </c>
      <c r="Q35" t="str">
        <f t="shared" si="4"/>
        <v>insert into business_analytic.report.orenda values(2026, 5, '2021106200', 'Київ,Фора-047 Мрії,24', NULL, 9567986.73, 'TO');</v>
      </c>
    </row>
    <row r="36" spans="1:17" x14ac:dyDescent="0.3">
      <c r="A36" t="s">
        <v>120</v>
      </c>
      <c r="B36" t="s">
        <v>680</v>
      </c>
      <c r="C36" t="s">
        <v>717</v>
      </c>
      <c r="D36" s="2">
        <v>17092587.769999996</v>
      </c>
      <c r="E36" s="2">
        <v>14024164.549999999</v>
      </c>
      <c r="F36" s="2">
        <v>17002772.649999999</v>
      </c>
      <c r="G36" s="2">
        <v>16788263.73</v>
      </c>
      <c r="H36" s="2">
        <v>17788038.950000003</v>
      </c>
      <c r="I36" s="2">
        <v>16946209.5</v>
      </c>
      <c r="J36" s="2">
        <v>6161459.25</v>
      </c>
      <c r="K36" s="2">
        <v>105803496.40000001</v>
      </c>
      <c r="L36" s="2"/>
      <c r="M36" t="str">
        <f t="shared" si="1"/>
        <v>insert into business_analytic.report.orenda values(2026, 1, '2021106300', 'Київ,Фора-048 Лісовий,23', NULL, 17092587.77, 'TO');</v>
      </c>
      <c r="N36" t="str">
        <f t="shared" si="2"/>
        <v>insert into business_analytic.report.orenda values(2026, 2, '2021106300', 'Київ,Фора-048 Лісовий,23', NULL, 14024164.55, 'TO');</v>
      </c>
      <c r="O36" t="str">
        <f t="shared" si="2"/>
        <v>insert into business_analytic.report.orenda values(2026, 3, '2021106300', 'Київ,Фора-048 Лісовий,23', NULL, 17002772.65, 'TO');</v>
      </c>
      <c r="P36" t="str">
        <f t="shared" si="3"/>
        <v>insert into business_analytic.report.orenda values(2026, 4, '2021106300', 'Київ,Фора-048 Лісовий,23', NULL, 16788263.73, 'TO');</v>
      </c>
      <c r="Q36" t="str">
        <f t="shared" si="4"/>
        <v>insert into business_analytic.report.orenda values(2026, 5, '2021106300', 'Київ,Фора-048 Лісовий,23', NULL, 17788038.95, 'TO');</v>
      </c>
    </row>
    <row r="37" spans="1:17" x14ac:dyDescent="0.3">
      <c r="A37" t="s">
        <v>286</v>
      </c>
      <c r="B37" t="s">
        <v>946</v>
      </c>
      <c r="C37" t="s">
        <v>947</v>
      </c>
      <c r="D37" s="2">
        <v>12653086.149999999</v>
      </c>
      <c r="E37" s="2">
        <v>11701648.99</v>
      </c>
      <c r="F37" s="2">
        <v>13517311.33</v>
      </c>
      <c r="G37" s="2">
        <v>13562042.159999998</v>
      </c>
      <c r="H37" s="2">
        <v>14941990.439999999</v>
      </c>
      <c r="I37" s="2">
        <v>14607026.989999998</v>
      </c>
      <c r="J37" s="2">
        <v>5237314.76</v>
      </c>
      <c r="K37" s="2">
        <v>86220420.819999993</v>
      </c>
      <c r="L37" s="2"/>
      <c r="M37" t="str">
        <f t="shared" si="1"/>
        <v>insert into business_analytic.report.orenda values(2026, 1, '2021106400', 'Київ,Фора-067 Василенко,19', NULL, 12653086.15, 'TO');</v>
      </c>
      <c r="N37" t="str">
        <f t="shared" si="2"/>
        <v>insert into business_analytic.report.orenda values(2026, 2, '2021106400', 'Київ,Фора-067 Василенко,19', NULL, 11701648.99, 'TO');</v>
      </c>
      <c r="O37" t="str">
        <f t="shared" si="2"/>
        <v>insert into business_analytic.report.orenda values(2026, 3, '2021106400', 'Київ,Фора-067 Василенко,19', NULL, 13517311.33, 'TO');</v>
      </c>
      <c r="P37" t="str">
        <f t="shared" si="3"/>
        <v>insert into business_analytic.report.orenda values(2026, 4, '2021106400', 'Київ,Фора-067 Василенко,19', NULL, 13562042.16, 'TO');</v>
      </c>
      <c r="Q37" t="str">
        <f t="shared" si="4"/>
        <v>insert into business_analytic.report.orenda values(2026, 5, '2021106400', 'Київ,Фора-067 Василенко,19', NULL, 14941990.44, 'TO');</v>
      </c>
    </row>
    <row r="38" spans="1:17" x14ac:dyDescent="0.3">
      <c r="A38" t="s">
        <v>287</v>
      </c>
      <c r="B38" t="s">
        <v>948</v>
      </c>
      <c r="C38" t="s">
        <v>949</v>
      </c>
      <c r="D38" s="2">
        <v>13807486.98</v>
      </c>
      <c r="E38" s="2">
        <v>12693485.199999999</v>
      </c>
      <c r="F38" s="2">
        <v>14182728.610000001</v>
      </c>
      <c r="G38" s="2">
        <v>13450910.68</v>
      </c>
      <c r="H38" s="2">
        <v>14155503.499999998</v>
      </c>
      <c r="I38" s="2">
        <v>13321208.149999999</v>
      </c>
      <c r="J38" s="2">
        <v>4982150.9399999995</v>
      </c>
      <c r="K38" s="2">
        <v>86593474.060000002</v>
      </c>
      <c r="L38" s="2"/>
      <c r="M38" t="str">
        <f t="shared" si="1"/>
        <v>insert into business_analytic.report.orenda values(2026, 1, '2021106500', 'Київ,Фора-049 Північна,46', NULL, 13807486.98, 'TO');</v>
      </c>
      <c r="N38" t="str">
        <f t="shared" si="2"/>
        <v>insert into business_analytic.report.orenda values(2026, 2, '2021106500', 'Київ,Фора-049 Північна,46', NULL, 12693485.2, 'TO');</v>
      </c>
      <c r="O38" t="str">
        <f t="shared" si="2"/>
        <v>insert into business_analytic.report.orenda values(2026, 3, '2021106500', 'Київ,Фора-049 Північна,46', NULL, 14182728.61, 'TO');</v>
      </c>
      <c r="P38" t="str">
        <f t="shared" si="3"/>
        <v>insert into business_analytic.report.orenda values(2026, 4, '2021106500', 'Київ,Фора-049 Північна,46', NULL, 13450910.68, 'TO');</v>
      </c>
      <c r="Q38" t="str">
        <f t="shared" si="4"/>
        <v>insert into business_analytic.report.orenda values(2026, 5, '2021106500', 'Київ,Фора-049 Північна,46', NULL, 14155503.5, 'TO');</v>
      </c>
    </row>
    <row r="39" spans="1:17" x14ac:dyDescent="0.3">
      <c r="A39" t="s">
        <v>121</v>
      </c>
      <c r="B39" t="s">
        <v>651</v>
      </c>
      <c r="C39" t="s">
        <v>718</v>
      </c>
      <c r="D39" s="2">
        <v>12114587.549999999</v>
      </c>
      <c r="E39" s="2">
        <v>12252936.65</v>
      </c>
      <c r="F39" s="2">
        <v>14216729.039999999</v>
      </c>
      <c r="G39" s="2">
        <v>13259689.26</v>
      </c>
      <c r="H39" s="2">
        <v>13004849.169999998</v>
      </c>
      <c r="I39" s="2">
        <v>12282307.83</v>
      </c>
      <c r="J39" s="2">
        <v>4443405.18</v>
      </c>
      <c r="K39" s="2">
        <v>81574504.680000007</v>
      </c>
      <c r="L39" s="2"/>
      <c r="M39" t="str">
        <f t="shared" si="1"/>
        <v>insert into business_analytic.report.orenda values(2026, 1, '2021106600', 'Київ,Фора-065 Рейгана,24', NULL, 12114587.55, 'TO');</v>
      </c>
      <c r="N39" t="str">
        <f t="shared" si="2"/>
        <v>insert into business_analytic.report.orenda values(2026, 2, '2021106600', 'Київ,Фора-065 Рейгана,24', NULL, 12252936.65, 'TO');</v>
      </c>
      <c r="O39" t="str">
        <f t="shared" si="2"/>
        <v>insert into business_analytic.report.orenda values(2026, 3, '2021106600', 'Київ,Фора-065 Рейгана,24', NULL, 14216729.04, 'TO');</v>
      </c>
      <c r="P39" t="str">
        <f t="shared" si="3"/>
        <v>insert into business_analytic.report.orenda values(2026, 4, '2021106600', 'Київ,Фора-065 Рейгана,24', NULL, 13259689.26, 'TO');</v>
      </c>
      <c r="Q39" t="str">
        <f t="shared" si="4"/>
        <v>insert into business_analytic.report.orenda values(2026, 5, '2021106600', 'Київ,Фора-065 Рейгана,24', NULL, 13004849.17, 'TO');</v>
      </c>
    </row>
    <row r="40" spans="1:17" x14ac:dyDescent="0.3">
      <c r="A40" t="s">
        <v>288</v>
      </c>
      <c r="B40" t="s">
        <v>950</v>
      </c>
      <c r="C40" t="s">
        <v>951</v>
      </c>
      <c r="D40" s="2">
        <v>5439893.6399999997</v>
      </c>
      <c r="E40" s="2">
        <v>4983435.03</v>
      </c>
      <c r="F40" s="2">
        <v>5717312.1700000009</v>
      </c>
      <c r="G40" s="2">
        <v>5607356.9900000002</v>
      </c>
      <c r="H40" s="2">
        <v>6004954.7699999996</v>
      </c>
      <c r="I40" s="2">
        <v>5722687.3999999994</v>
      </c>
      <c r="J40" s="2">
        <v>2009553.68</v>
      </c>
      <c r="K40" s="2">
        <v>35485193.680000007</v>
      </c>
      <c r="L40" s="2"/>
      <c r="M40" t="str">
        <f t="shared" si="1"/>
        <v>insert into business_analytic.report.orenda values(2026, 1, '2021106801', 'Київ,Фора-077 Кубанської України,55', NULL, 5439893.64, 'TO');</v>
      </c>
      <c r="N40" t="str">
        <f t="shared" si="2"/>
        <v>insert into business_analytic.report.orenda values(2026, 2, '2021106801', 'Київ,Фора-077 Кубанської України,55', NULL, 4983435.03, 'TO');</v>
      </c>
      <c r="O40" t="str">
        <f t="shared" si="2"/>
        <v>insert into business_analytic.report.orenda values(2026, 3, '2021106801', 'Київ,Фора-077 Кубанської України,55', NULL, 5717312.17, 'TO');</v>
      </c>
      <c r="P40" t="str">
        <f t="shared" si="3"/>
        <v>insert into business_analytic.report.orenda values(2026, 4, '2021106801', 'Київ,Фора-077 Кубанської України,55', NULL, 5607356.99, 'TO');</v>
      </c>
      <c r="Q40" t="str">
        <f t="shared" si="4"/>
        <v>insert into business_analytic.report.orenda values(2026, 5, '2021106801', 'Київ,Фора-077 Кубанської України,55', NULL, 6004954.77, 'TO');</v>
      </c>
    </row>
    <row r="41" spans="1:17" x14ac:dyDescent="0.3">
      <c r="A41" t="s">
        <v>289</v>
      </c>
      <c r="B41" t="s">
        <v>952</v>
      </c>
      <c r="C41" t="s">
        <v>953</v>
      </c>
      <c r="D41" s="2">
        <v>8453226.3699999992</v>
      </c>
      <c r="E41" s="2">
        <v>7938685.1799999997</v>
      </c>
      <c r="F41" s="2">
        <v>8513767.2400000002</v>
      </c>
      <c r="G41" s="2">
        <v>8363890.3400000017</v>
      </c>
      <c r="H41" s="2">
        <v>8775296.459999999</v>
      </c>
      <c r="I41" s="2">
        <v>8263397.6899999995</v>
      </c>
      <c r="J41" s="2">
        <v>3065777.5</v>
      </c>
      <c r="K41" s="2">
        <v>53374040.780000001</v>
      </c>
      <c r="L41" s="2"/>
      <c r="M41" t="str">
        <f t="shared" si="1"/>
        <v>insert into business_analytic.report.orenda values(2026, 1, '2021107100', 'Київ,Фора-066 Іжакевича,1/24', NULL, 8453226.37, 'TO');</v>
      </c>
      <c r="N41" t="str">
        <f t="shared" si="2"/>
        <v>insert into business_analytic.report.orenda values(2026, 2, '2021107100', 'Київ,Фора-066 Іжакевича,1/24', NULL, 7938685.18, 'TO');</v>
      </c>
      <c r="O41" t="str">
        <f t="shared" si="2"/>
        <v>insert into business_analytic.report.orenda values(2026, 3, '2021107100', 'Київ,Фора-066 Іжакевича,1/24', NULL, 8513767.24, 'TO');</v>
      </c>
      <c r="P41" t="str">
        <f t="shared" si="3"/>
        <v>insert into business_analytic.report.orenda values(2026, 4, '2021107100', 'Київ,Фора-066 Іжакевича,1/24', NULL, 8363890.34, 'TO');</v>
      </c>
      <c r="Q41" t="str">
        <f t="shared" si="4"/>
        <v>insert into business_analytic.report.orenda values(2026, 5, '2021107100', 'Київ,Фора-066 Іжакевича,1/24', NULL, 8775296.46, 'TO');</v>
      </c>
    </row>
    <row r="42" spans="1:17" x14ac:dyDescent="0.3">
      <c r="A42" t="s">
        <v>122</v>
      </c>
      <c r="B42" t="s">
        <v>440</v>
      </c>
      <c r="C42" t="s">
        <v>719</v>
      </c>
      <c r="D42" s="2">
        <v>4940605.5</v>
      </c>
      <c r="E42" s="2">
        <v>4974794.9799999995</v>
      </c>
      <c r="F42" s="2">
        <v>5795789.4799999995</v>
      </c>
      <c r="G42" s="2">
        <v>5250510.67</v>
      </c>
      <c r="H42" s="2">
        <v>5400694.129999999</v>
      </c>
      <c r="I42" s="2">
        <v>5061046.63</v>
      </c>
      <c r="J42" s="2">
        <v>1771173.2699999998</v>
      </c>
      <c r="K42" s="2">
        <v>33194614.659999993</v>
      </c>
      <c r="L42" s="2"/>
      <c r="M42" t="str">
        <f t="shared" si="1"/>
        <v>insert into business_analytic.report.orenda values(2026, 1, '2021107300', 'Київ,Фора-068 Білецького,11', NULL, 4940605.5, 'TO');</v>
      </c>
      <c r="N42" t="str">
        <f t="shared" si="2"/>
        <v>insert into business_analytic.report.orenda values(2026, 2, '2021107300', 'Київ,Фора-068 Білецького,11', NULL, 4974794.98, 'TO');</v>
      </c>
      <c r="O42" t="str">
        <f t="shared" si="2"/>
        <v>insert into business_analytic.report.orenda values(2026, 3, '2021107300', 'Київ,Фора-068 Білецького,11', NULL, 5795789.48, 'TO');</v>
      </c>
      <c r="P42" t="str">
        <f t="shared" si="3"/>
        <v>insert into business_analytic.report.orenda values(2026, 4, '2021107300', 'Київ,Фора-068 Білецького,11', NULL, 5250510.67, 'TO');</v>
      </c>
      <c r="Q42" t="str">
        <f t="shared" si="4"/>
        <v>insert into business_analytic.report.orenda values(2026, 5, '2021107300', 'Київ,Фора-068 Білецького,11', NULL, 5400694.13, 'TO');</v>
      </c>
    </row>
    <row r="43" spans="1:17" x14ac:dyDescent="0.3">
      <c r="A43" t="s">
        <v>290</v>
      </c>
      <c r="B43" t="s">
        <v>954</v>
      </c>
      <c r="C43" t="s">
        <v>955</v>
      </c>
      <c r="D43" s="2">
        <v>10060430.460000001</v>
      </c>
      <c r="E43" s="2">
        <v>9223886.1900000013</v>
      </c>
      <c r="F43" s="2">
        <v>10314034.429999998</v>
      </c>
      <c r="G43" s="2">
        <v>10275434.249999998</v>
      </c>
      <c r="H43" s="2">
        <v>10557066.039999999</v>
      </c>
      <c r="I43" s="2">
        <v>9981741.3900000006</v>
      </c>
      <c r="J43" s="2">
        <v>3716328.1999999997</v>
      </c>
      <c r="K43" s="2">
        <v>64128920.960000001</v>
      </c>
      <c r="L43" s="2"/>
      <c r="M43" t="str">
        <f t="shared" si="1"/>
        <v>insert into business_analytic.report.orenda values(2026, 1, '2021107400', 'Київ,Фора-070 Ялтинська,6', NULL, 10060430.46, 'TO');</v>
      </c>
      <c r="N43" t="str">
        <f t="shared" si="2"/>
        <v>insert into business_analytic.report.orenda values(2026, 2, '2021107400', 'Київ,Фора-070 Ялтинська,6', NULL, 9223886.19, 'TO');</v>
      </c>
      <c r="O43" t="str">
        <f t="shared" si="2"/>
        <v>insert into business_analytic.report.orenda values(2026, 3, '2021107400', 'Київ,Фора-070 Ялтинська,6', NULL, 10314034.43, 'TO');</v>
      </c>
      <c r="P43" t="str">
        <f t="shared" si="3"/>
        <v>insert into business_analytic.report.orenda values(2026, 4, '2021107400', 'Київ,Фора-070 Ялтинська,6', NULL, 10275434.25, 'TO');</v>
      </c>
      <c r="Q43" t="str">
        <f t="shared" si="4"/>
        <v>insert into business_analytic.report.orenda values(2026, 5, '2021107400', 'Київ,Фора-070 Ялтинська,6', NULL, 10557066.04, 'TO');</v>
      </c>
    </row>
    <row r="44" spans="1:17" x14ac:dyDescent="0.3">
      <c r="A44" t="s">
        <v>291</v>
      </c>
      <c r="B44" t="s">
        <v>956</v>
      </c>
      <c r="C44" t="s">
        <v>957</v>
      </c>
      <c r="D44" s="2">
        <v>4440841.6999999993</v>
      </c>
      <c r="E44" s="2">
        <v>4472544.18</v>
      </c>
      <c r="F44" s="2">
        <v>5131682.0799999991</v>
      </c>
      <c r="G44" s="2">
        <v>5028490.37</v>
      </c>
      <c r="H44" s="2">
        <v>5432190.3700000001</v>
      </c>
      <c r="I44" s="2">
        <v>5235027.83</v>
      </c>
      <c r="J44" s="2">
        <v>1903083.0399999998</v>
      </c>
      <c r="K44" s="2">
        <v>31643859.569999993</v>
      </c>
      <c r="L44" s="2"/>
      <c r="M44" t="str">
        <f t="shared" si="1"/>
        <v>insert into business_analytic.report.orenda values(2026, 1, '2021107600', 'Київ,Фора-082 Антонова,11', NULL, 4440841.7, 'TO');</v>
      </c>
      <c r="N44" t="str">
        <f t="shared" si="2"/>
        <v>insert into business_analytic.report.orenda values(2026, 2, '2021107600', 'Київ,Фора-082 Антонова,11', NULL, 4472544.18, 'TO');</v>
      </c>
      <c r="O44" t="str">
        <f t="shared" si="2"/>
        <v>insert into business_analytic.report.orenda values(2026, 3, '2021107600', 'Київ,Фора-082 Антонова,11', NULL, 5131682.08, 'TO');</v>
      </c>
      <c r="P44" t="str">
        <f t="shared" si="3"/>
        <v>insert into business_analytic.report.orenda values(2026, 4, '2021107600', 'Київ,Фора-082 Антонова,11', NULL, 5028490.37, 'TO');</v>
      </c>
      <c r="Q44" t="str">
        <f t="shared" si="4"/>
        <v>insert into business_analytic.report.orenda values(2026, 5, '2021107600', 'Київ,Фора-082 Антонова,11', NULL, 5432190.37, 'TO');</v>
      </c>
    </row>
    <row r="45" spans="1:17" x14ac:dyDescent="0.3">
      <c r="A45" t="s">
        <v>292</v>
      </c>
      <c r="B45" t="s">
        <v>958</v>
      </c>
      <c r="C45" t="s">
        <v>959</v>
      </c>
      <c r="D45" s="2">
        <v>4847105.169999999</v>
      </c>
      <c r="E45" s="2">
        <v>4463063.1099999994</v>
      </c>
      <c r="F45" s="2">
        <v>5001416.1300000008</v>
      </c>
      <c r="G45" s="2">
        <v>5166292.83</v>
      </c>
      <c r="H45" s="2">
        <v>5778003.8600000003</v>
      </c>
      <c r="I45" s="2">
        <v>5531591.0899999999</v>
      </c>
      <c r="J45" s="2">
        <v>2023763.7499999998</v>
      </c>
      <c r="K45" s="2">
        <v>32811235.939999998</v>
      </c>
      <c r="L45" s="2"/>
      <c r="M45" t="str">
        <f t="shared" si="1"/>
        <v>insert into business_analytic.report.orenda values(2026, 1, '2021107800', 'Київ,Фора-089 Відрадний,14/45', NULL, 4847105.17, 'TO');</v>
      </c>
      <c r="N45" t="str">
        <f t="shared" si="2"/>
        <v>insert into business_analytic.report.orenda values(2026, 2, '2021107800', 'Київ,Фора-089 Відрадний,14/45', NULL, 4463063.11, 'TO');</v>
      </c>
      <c r="O45" t="str">
        <f t="shared" si="2"/>
        <v>insert into business_analytic.report.orenda values(2026, 3, '2021107800', 'Київ,Фора-089 Відрадний,14/45', NULL, 5001416.13, 'TO');</v>
      </c>
      <c r="P45" t="str">
        <f t="shared" si="3"/>
        <v>insert into business_analytic.report.orenda values(2026, 4, '2021107800', 'Київ,Фора-089 Відрадний,14/45', NULL, 5166292.83, 'TO');</v>
      </c>
      <c r="Q45" t="str">
        <f t="shared" si="4"/>
        <v>insert into business_analytic.report.orenda values(2026, 5, '2021107800', 'Київ,Фора-089 Відрадний,14/45', NULL, 5778003.86, 'TO');</v>
      </c>
    </row>
    <row r="46" spans="1:17" x14ac:dyDescent="0.3">
      <c r="A46" t="s">
        <v>293</v>
      </c>
      <c r="B46" t="s">
        <v>960</v>
      </c>
      <c r="C46" t="s">
        <v>951</v>
      </c>
      <c r="D46" s="2">
        <v>8343467.3999999994</v>
      </c>
      <c r="E46" s="2">
        <v>7941809.7299999995</v>
      </c>
      <c r="F46" s="2">
        <v>8664730.7200000007</v>
      </c>
      <c r="G46" s="2">
        <v>8510017.0800000001</v>
      </c>
      <c r="H46" s="2">
        <v>9202254.2999999989</v>
      </c>
      <c r="I46" s="2">
        <v>8745385.8299999982</v>
      </c>
      <c r="J46" s="2">
        <v>3330283.6</v>
      </c>
      <c r="K46" s="2">
        <v>54737948.659999996</v>
      </c>
      <c r="L46" s="2"/>
      <c r="M46" t="str">
        <f t="shared" si="1"/>
        <v>insert into business_analytic.report.orenda values(2026, 1, '2021107900', 'Вишневе,Фора-084 Примаченко,7', NULL, 8343467.4, 'TO');</v>
      </c>
      <c r="N46" t="str">
        <f t="shared" si="2"/>
        <v>insert into business_analytic.report.orenda values(2026, 2, '2021107900', 'Вишневе,Фора-084 Примаченко,7', NULL, 7941809.73, 'TO');</v>
      </c>
      <c r="O46" t="str">
        <f t="shared" si="2"/>
        <v>insert into business_analytic.report.orenda values(2026, 3, '2021107900', 'Вишневе,Фора-084 Примаченко,7', NULL, 8664730.72, 'TO');</v>
      </c>
      <c r="P46" t="str">
        <f t="shared" si="3"/>
        <v>insert into business_analytic.report.orenda values(2026, 4, '2021107900', 'Вишневе,Фора-084 Примаченко,7', NULL, 8510017.08, 'TO');</v>
      </c>
      <c r="Q46" t="str">
        <f t="shared" si="4"/>
        <v>insert into business_analytic.report.orenda values(2026, 5, '2021107900', 'Вишневе,Фора-084 Примаченко,7', NULL, 9202254.3, 'TO');</v>
      </c>
    </row>
    <row r="47" spans="1:17" x14ac:dyDescent="0.3">
      <c r="A47" t="s">
        <v>294</v>
      </c>
      <c r="B47" t="s">
        <v>961</v>
      </c>
      <c r="C47" t="s">
        <v>962</v>
      </c>
      <c r="D47" s="2">
        <v>7799762.3899999997</v>
      </c>
      <c r="E47" s="2">
        <v>7677758.6299999999</v>
      </c>
      <c r="F47" s="2">
        <v>8460602.9300000016</v>
      </c>
      <c r="G47" s="2">
        <v>8442351.8100000005</v>
      </c>
      <c r="H47" s="2">
        <v>9105951.9800000004</v>
      </c>
      <c r="I47" s="2">
        <v>8761207.2799999993</v>
      </c>
      <c r="J47" s="2">
        <v>2836019.1199999996</v>
      </c>
      <c r="K47" s="2">
        <v>53083654.140000001</v>
      </c>
      <c r="L47" s="2"/>
      <c r="M47" t="str">
        <f t="shared" si="1"/>
        <v>insert into business_analytic.report.orenda values(2026, 1, '2021108000', 'Вишневе,Фора-079 Освіти,2', NULL, 7799762.39, 'TO');</v>
      </c>
      <c r="N47" t="str">
        <f t="shared" si="2"/>
        <v>insert into business_analytic.report.orenda values(2026, 2, '2021108000', 'Вишневе,Фора-079 Освіти,2', NULL, 7677758.63, 'TO');</v>
      </c>
      <c r="O47" t="str">
        <f t="shared" si="2"/>
        <v>insert into business_analytic.report.orenda values(2026, 3, '2021108000', 'Вишневе,Фора-079 Освіти,2', NULL, 8460602.93, 'TO');</v>
      </c>
      <c r="P47" t="str">
        <f t="shared" si="3"/>
        <v>insert into business_analytic.report.orenda values(2026, 4, '2021108000', 'Вишневе,Фора-079 Освіти,2', NULL, 8442351.81, 'TO');</v>
      </c>
      <c r="Q47" t="str">
        <f t="shared" si="4"/>
        <v>insert into business_analytic.report.orenda values(2026, 5, '2021108000', 'Вишневе,Фора-079 Освіти,2', NULL, 9105951.98, 'TO');</v>
      </c>
    </row>
    <row r="48" spans="1:17" x14ac:dyDescent="0.3">
      <c r="A48" t="s">
        <v>0</v>
      </c>
      <c r="B48" t="s">
        <v>441</v>
      </c>
      <c r="C48" t="s">
        <v>720</v>
      </c>
      <c r="D48" s="2">
        <v>6856230.54</v>
      </c>
      <c r="E48" s="2">
        <v>6495530.8700000001</v>
      </c>
      <c r="F48" s="2">
        <v>7362626.9099999992</v>
      </c>
      <c r="G48" s="2">
        <v>7400779.9100000001</v>
      </c>
      <c r="H48" s="2">
        <v>9852582.3899999987</v>
      </c>
      <c r="I48" s="2">
        <v>9983844.6300000008</v>
      </c>
      <c r="J48" s="2">
        <v>3719224.07</v>
      </c>
      <c r="K48" s="2">
        <v>51670819.319999993</v>
      </c>
      <c r="L48" s="2"/>
      <c r="M48" t="str">
        <f t="shared" si="1"/>
        <v>insert into business_analytic.report.orenda values(2026, 1, '2021108100', 'БЦерква,Фора-476 Незалежності,57', NULL, 6856230.54, 'TO');</v>
      </c>
      <c r="N48" t="str">
        <f t="shared" si="2"/>
        <v>insert into business_analytic.report.orenda values(2026, 2, '2021108100', 'БЦерква,Фора-476 Незалежності,57', NULL, 6495530.87, 'TO');</v>
      </c>
      <c r="O48" t="str">
        <f t="shared" si="2"/>
        <v>insert into business_analytic.report.orenda values(2026, 3, '2021108100', 'БЦерква,Фора-476 Незалежності,57', NULL, 7362626.91, 'TO');</v>
      </c>
      <c r="P48" t="str">
        <f t="shared" si="3"/>
        <v>insert into business_analytic.report.orenda values(2026, 4, '2021108100', 'БЦерква,Фора-476 Незалежності,57', NULL, 7400779.91, 'TO');</v>
      </c>
      <c r="Q48" t="str">
        <f t="shared" si="4"/>
        <v>insert into business_analytic.report.orenda values(2026, 5, '2021108100', 'БЦерква,Фора-476 Незалежності,57', NULL, 9852582.39, 'TO');</v>
      </c>
    </row>
    <row r="49" spans="1:17" x14ac:dyDescent="0.3">
      <c r="A49" t="s">
        <v>1</v>
      </c>
      <c r="B49" t="s">
        <v>442</v>
      </c>
      <c r="C49" t="s">
        <v>721</v>
      </c>
      <c r="D49" s="2">
        <v>13849550.610000001</v>
      </c>
      <c r="E49" s="2">
        <v>12691585.879999999</v>
      </c>
      <c r="F49" s="2">
        <v>14653589.979999999</v>
      </c>
      <c r="G49" s="2">
        <v>14399229.67</v>
      </c>
      <c r="H49" s="2">
        <v>14545412.039999999</v>
      </c>
      <c r="I49" s="2">
        <v>13178711.299999999</v>
      </c>
      <c r="J49" s="2">
        <v>4830610.3199999994</v>
      </c>
      <c r="K49" s="2">
        <v>88148689.800000012</v>
      </c>
      <c r="L49" s="2"/>
      <c r="M49" t="str">
        <f t="shared" si="1"/>
        <v>insert into business_analytic.report.orenda values(2026, 1, '2021108200', 'Київ,Фора-477 Бальзака,85', NULL, 13849550.61, 'TO');</v>
      </c>
      <c r="N49" t="str">
        <f t="shared" si="2"/>
        <v>insert into business_analytic.report.orenda values(2026, 2, '2021108200', 'Київ,Фора-477 Бальзака,85', NULL, 12691585.88, 'TO');</v>
      </c>
      <c r="O49" t="str">
        <f t="shared" si="2"/>
        <v>insert into business_analytic.report.orenda values(2026, 3, '2021108200', 'Київ,Фора-477 Бальзака,85', NULL, 14653589.98, 'TO');</v>
      </c>
      <c r="P49" t="str">
        <f t="shared" si="3"/>
        <v>insert into business_analytic.report.orenda values(2026, 4, '2021108200', 'Київ,Фора-477 Бальзака,85', NULL, 14399229.67, 'TO');</v>
      </c>
      <c r="Q49" t="str">
        <f t="shared" si="4"/>
        <v>insert into business_analytic.report.orenda values(2026, 5, '2021108200', 'Київ,Фора-477 Бальзака,85', NULL, 14545412.04, 'TO');</v>
      </c>
    </row>
    <row r="50" spans="1:17" x14ac:dyDescent="0.3">
      <c r="A50" t="s">
        <v>2</v>
      </c>
      <c r="B50" t="s">
        <v>443</v>
      </c>
      <c r="C50" t="s">
        <v>722</v>
      </c>
      <c r="D50" s="2">
        <v>19932968.439999998</v>
      </c>
      <c r="E50" s="2">
        <v>18768791.66</v>
      </c>
      <c r="F50" s="2">
        <v>22188510.02</v>
      </c>
      <c r="G50" s="2">
        <v>21894111.569999997</v>
      </c>
      <c r="H50" s="2">
        <v>24042966.649999999</v>
      </c>
      <c r="I50" s="2">
        <v>23815142.799999997</v>
      </c>
      <c r="J50" s="2">
        <v>8864263.3099999987</v>
      </c>
      <c r="K50" s="2">
        <v>139506754.44999999</v>
      </c>
      <c r="L50" s="2"/>
      <c r="M50" t="str">
        <f t="shared" si="1"/>
        <v>insert into business_analytic.report.orenda values(2026, 1, '2021108300', 'Українка,Фора-480 Соснова,5А', NULL, 19932968.44, 'TO');</v>
      </c>
      <c r="N50" t="str">
        <f t="shared" si="2"/>
        <v>insert into business_analytic.report.orenda values(2026, 2, '2021108300', 'Українка,Фора-480 Соснова,5А', NULL, 18768791.66, 'TO');</v>
      </c>
      <c r="O50" t="str">
        <f t="shared" si="2"/>
        <v>insert into business_analytic.report.orenda values(2026, 3, '2021108300', 'Українка,Фора-480 Соснова,5А', NULL, 22188510.02, 'TO');</v>
      </c>
      <c r="P50" t="str">
        <f t="shared" si="3"/>
        <v>insert into business_analytic.report.orenda values(2026, 4, '2021108300', 'Українка,Фора-480 Соснова,5А', NULL, 21894111.57, 'TO');</v>
      </c>
      <c r="Q50" t="str">
        <f t="shared" si="4"/>
        <v>insert into business_analytic.report.orenda values(2026, 5, '2021108300', 'Українка,Фора-480 Соснова,5А', NULL, 24042966.65, 'TO');</v>
      </c>
    </row>
    <row r="51" spans="1:17" x14ac:dyDescent="0.3">
      <c r="A51" t="s">
        <v>123</v>
      </c>
      <c r="B51" t="s">
        <v>444</v>
      </c>
      <c r="C51" t="s">
        <v>723</v>
      </c>
      <c r="D51" s="2">
        <v>27166240.049999997</v>
      </c>
      <c r="E51" s="2">
        <v>22931064.199999996</v>
      </c>
      <c r="F51" s="2">
        <v>25651590.839999996</v>
      </c>
      <c r="G51" s="2">
        <v>25392367.030000001</v>
      </c>
      <c r="H51" s="2">
        <v>27031555.729999997</v>
      </c>
      <c r="I51" s="2">
        <v>25979441.139999997</v>
      </c>
      <c r="J51" s="2">
        <v>9265868.4900000002</v>
      </c>
      <c r="K51" s="2">
        <v>163418127.47999999</v>
      </c>
      <c r="L51" s="2"/>
      <c r="M51" t="str">
        <f t="shared" si="1"/>
        <v>insert into business_analytic.report.orenda values(2026, 1, '2021111000', 'Київ,Фора-386 Чавдар,32', NULL, 27166240.05, 'TO');</v>
      </c>
      <c r="N51" t="str">
        <f t="shared" si="2"/>
        <v>insert into business_analytic.report.orenda values(2026, 2, '2021111000', 'Київ,Фора-386 Чавдар,32', NULL, 22931064.2, 'TO');</v>
      </c>
      <c r="O51" t="str">
        <f t="shared" si="2"/>
        <v>insert into business_analytic.report.orenda values(2026, 3, '2021111000', 'Київ,Фора-386 Чавдар,32', NULL, 25651590.84, 'TO');</v>
      </c>
      <c r="P51" t="str">
        <f t="shared" si="3"/>
        <v>insert into business_analytic.report.orenda values(2026, 4, '2021111000', 'Київ,Фора-386 Чавдар,32', NULL, 25392367.03, 'TO');</v>
      </c>
      <c r="Q51" t="str">
        <f t="shared" si="4"/>
        <v>insert into business_analytic.report.orenda values(2026, 5, '2021111000', 'Київ,Фора-386 Чавдар,32', NULL, 27031555.73, 'TO');</v>
      </c>
    </row>
    <row r="52" spans="1:17" x14ac:dyDescent="0.3">
      <c r="A52" t="s">
        <v>295</v>
      </c>
      <c r="B52" t="s">
        <v>963</v>
      </c>
      <c r="C52" t="s">
        <v>964</v>
      </c>
      <c r="D52" s="2">
        <v>7526539.4199999999</v>
      </c>
      <c r="E52" s="2">
        <v>7152349.1800000006</v>
      </c>
      <c r="F52" s="2">
        <v>8059746.0199999996</v>
      </c>
      <c r="G52" s="2">
        <v>7716353.9100000001</v>
      </c>
      <c r="H52" s="2">
        <v>8127689.459999999</v>
      </c>
      <c r="I52" s="2">
        <v>7724930.7300000004</v>
      </c>
      <c r="J52" s="2">
        <v>2829452.07</v>
      </c>
      <c r="K52" s="2">
        <v>49137060.789999992</v>
      </c>
      <c r="L52" s="2"/>
      <c r="M52" t="str">
        <f t="shared" si="1"/>
        <v>insert into business_analytic.report.orenda values(2026, 1, '2021111200', 'Київ,Фора-081 Ратушного,21А', NULL, 7526539.42, 'TO');</v>
      </c>
      <c r="N52" t="str">
        <f t="shared" si="2"/>
        <v>insert into business_analytic.report.orenda values(2026, 2, '2021111200', 'Київ,Фора-081 Ратушного,21А', NULL, 7152349.18, 'TO');</v>
      </c>
      <c r="O52" t="str">
        <f t="shared" si="2"/>
        <v>insert into business_analytic.report.orenda values(2026, 3, '2021111200', 'Київ,Фора-081 Ратушного,21А', NULL, 8059746.02, 'TO');</v>
      </c>
      <c r="P52" t="str">
        <f t="shared" si="3"/>
        <v>insert into business_analytic.report.orenda values(2026, 4, '2021111200', 'Київ,Фора-081 Ратушного,21А', NULL, 7716353.91, 'TO');</v>
      </c>
      <c r="Q52" t="str">
        <f t="shared" si="4"/>
        <v>insert into business_analytic.report.orenda values(2026, 5, '2021111200', 'Київ,Фора-081 Ратушного,21А', NULL, 8127689.46, 'TO');</v>
      </c>
    </row>
    <row r="53" spans="1:17" x14ac:dyDescent="0.3">
      <c r="A53" t="s">
        <v>296</v>
      </c>
      <c r="B53" t="s">
        <v>965</v>
      </c>
      <c r="C53" t="s">
        <v>966</v>
      </c>
      <c r="D53" s="2">
        <v>13913125.33</v>
      </c>
      <c r="E53" s="2">
        <v>12954628.159999998</v>
      </c>
      <c r="F53" s="2">
        <v>14707396.499999998</v>
      </c>
      <c r="G53" s="2">
        <v>14011544.389999999</v>
      </c>
      <c r="H53" s="2">
        <v>14974282.219999999</v>
      </c>
      <c r="I53" s="2">
        <v>14409487.4</v>
      </c>
      <c r="J53" s="2">
        <v>5308502.82</v>
      </c>
      <c r="K53" s="2">
        <v>90278966.819999993</v>
      </c>
      <c r="L53" s="2"/>
      <c r="M53" t="str">
        <f t="shared" si="1"/>
        <v>insert into business_analytic.report.orenda values(2026, 1, '2021111300', 'Київ,Фора-083 Солом'янська,40/4', NULL, 13913125.33, 'TO');</v>
      </c>
      <c r="N53" t="str">
        <f t="shared" si="2"/>
        <v>insert into business_analytic.report.orenda values(2026, 2, '2021111300', 'Київ,Фора-083 Солом'янська,40/4', NULL, 12954628.16, 'TO');</v>
      </c>
      <c r="O53" t="str">
        <f t="shared" si="2"/>
        <v>insert into business_analytic.report.orenda values(2026, 3, '2021111300', 'Київ,Фора-083 Солом'янська,40/4', NULL, 14707396.5, 'TO');</v>
      </c>
      <c r="P53" t="str">
        <f t="shared" si="3"/>
        <v>insert into business_analytic.report.orenda values(2026, 4, '2021111300', 'Київ,Фора-083 Солом'янська,40/4', NULL, 14011544.39, 'TO');</v>
      </c>
      <c r="Q53" t="str">
        <f t="shared" si="4"/>
        <v>insert into business_analytic.report.orenda values(2026, 5, '2021111300', 'Київ,Фора-083 Солом'янська,40/4', NULL, 14974282.22, 'TO');</v>
      </c>
    </row>
    <row r="54" spans="1:17" x14ac:dyDescent="0.3">
      <c r="A54" t="s">
        <v>297</v>
      </c>
      <c r="B54" t="s">
        <v>967</v>
      </c>
      <c r="C54" t="s">
        <v>863</v>
      </c>
      <c r="D54" s="2">
        <v>5263041.8899999997</v>
      </c>
      <c r="E54" s="2">
        <v>5351543.7299999995</v>
      </c>
      <c r="F54" s="2">
        <v>6713302.9999999991</v>
      </c>
      <c r="G54" s="2">
        <v>6542988.3099999996</v>
      </c>
      <c r="H54" s="2">
        <v>7297028.5799999991</v>
      </c>
      <c r="I54" s="2">
        <v>6564313.9899999993</v>
      </c>
      <c r="J54" s="2">
        <v>2095174.04</v>
      </c>
      <c r="K54" s="2">
        <v>39827393.540000007</v>
      </c>
      <c r="L54" s="2"/>
      <c r="M54" t="str">
        <f t="shared" si="1"/>
        <v>insert into business_analytic.report.orenda values(2026, 1, '2021111400', 'Київ,Фора-085 Іваниса,15', NULL, 5263041.89, 'TO');</v>
      </c>
      <c r="N54" t="str">
        <f t="shared" si="2"/>
        <v>insert into business_analytic.report.orenda values(2026, 2, '2021111400', 'Київ,Фора-085 Іваниса,15', NULL, 5351543.73, 'TO');</v>
      </c>
      <c r="O54" t="str">
        <f t="shared" si="2"/>
        <v>insert into business_analytic.report.orenda values(2026, 3, '2021111400', 'Київ,Фора-085 Іваниса,15', NULL, 6713303, 'TO');</v>
      </c>
      <c r="P54" t="str">
        <f t="shared" si="3"/>
        <v>insert into business_analytic.report.orenda values(2026, 4, '2021111400', 'Київ,Фора-085 Іваниса,15', NULL, 6542988.31, 'TO');</v>
      </c>
      <c r="Q54" t="str">
        <f t="shared" si="4"/>
        <v>insert into business_analytic.report.orenda values(2026, 5, '2021111400', 'Київ,Фора-085 Іваниса,15', NULL, 7297028.58, 'TO');</v>
      </c>
    </row>
    <row r="55" spans="1:17" x14ac:dyDescent="0.3">
      <c r="A55" t="s">
        <v>298</v>
      </c>
      <c r="B55" t="s">
        <v>968</v>
      </c>
      <c r="C55" t="s">
        <v>969</v>
      </c>
      <c r="D55" s="2">
        <v>8542748.4799999986</v>
      </c>
      <c r="E55" s="2">
        <v>8107870.04</v>
      </c>
      <c r="F55" s="2">
        <v>8402794.5999999996</v>
      </c>
      <c r="G55" s="2">
        <v>8480956.0399999991</v>
      </c>
      <c r="H55" s="2">
        <v>8896407.9199999981</v>
      </c>
      <c r="I55" s="2">
        <v>8254158.0999999987</v>
      </c>
      <c r="J55" s="2">
        <v>3004416.93</v>
      </c>
      <c r="K55" s="2">
        <v>53689352.110000007</v>
      </c>
      <c r="L55" s="2"/>
      <c r="M55" t="str">
        <f t="shared" si="1"/>
        <v>insert into business_analytic.report.orenda values(2026, 1, '2021111700', 'Київ,Фора-093 Кондратюка,2А', NULL, 8542748.48, 'TO');</v>
      </c>
      <c r="N55" t="str">
        <f t="shared" si="2"/>
        <v>insert into business_analytic.report.orenda values(2026, 2, '2021111700', 'Київ,Фора-093 Кондратюка,2А', NULL, 8107870.04, 'TO');</v>
      </c>
      <c r="O55" t="str">
        <f t="shared" si="2"/>
        <v>insert into business_analytic.report.orenda values(2026, 3, '2021111700', 'Київ,Фора-093 Кондратюка,2А', NULL, 8402794.6, 'TO');</v>
      </c>
      <c r="P55" t="str">
        <f t="shared" si="3"/>
        <v>insert into business_analytic.report.orenda values(2026, 4, '2021111700', 'Київ,Фора-093 Кондратюка,2А', NULL, 8480956.04, 'TO');</v>
      </c>
      <c r="Q55" t="str">
        <f t="shared" si="4"/>
        <v>insert into business_analytic.report.orenda values(2026, 5, '2021111700', 'Київ,Фора-093 Кондратюка,2А', NULL, 8896407.92, 'TO');</v>
      </c>
    </row>
    <row r="56" spans="1:17" x14ac:dyDescent="0.3">
      <c r="A56" t="s">
        <v>299</v>
      </c>
      <c r="B56" t="s">
        <v>970</v>
      </c>
      <c r="C56" t="s">
        <v>971</v>
      </c>
      <c r="D56" s="2">
        <v>5811988.0800000001</v>
      </c>
      <c r="E56" s="2">
        <v>5307312.82</v>
      </c>
      <c r="F56" s="2">
        <v>5801678.4000000004</v>
      </c>
      <c r="G56" s="2">
        <v>5557334.6500000004</v>
      </c>
      <c r="H56" s="2">
        <v>5807348.9800000004</v>
      </c>
      <c r="I56" s="2">
        <v>5497981.5799999991</v>
      </c>
      <c r="J56" s="2">
        <v>2030929.89</v>
      </c>
      <c r="K56" s="2">
        <v>35814574.400000006</v>
      </c>
      <c r="L56" s="2"/>
      <c r="M56" t="str">
        <f t="shared" si="1"/>
        <v>insert into business_analytic.report.orenda values(2026, 1, '2021111900', 'Київ,Фора-090 Кубанської,України,47', NULL, 5811988.08, 'TO');</v>
      </c>
      <c r="N56" t="str">
        <f t="shared" si="2"/>
        <v>insert into business_analytic.report.orenda values(2026, 2, '2021111900', 'Київ,Фора-090 Кубанської,України,47', NULL, 5307312.82, 'TO');</v>
      </c>
      <c r="O56" t="str">
        <f t="shared" si="2"/>
        <v>insert into business_analytic.report.orenda values(2026, 3, '2021111900', 'Київ,Фора-090 Кубанської,України,47', NULL, 5801678.4, 'TO');</v>
      </c>
      <c r="P56" t="str">
        <f t="shared" si="3"/>
        <v>insert into business_analytic.report.orenda values(2026, 4, '2021111900', 'Київ,Фора-090 Кубанської,України,47', NULL, 5557334.65, 'TO');</v>
      </c>
      <c r="Q56" t="str">
        <f t="shared" si="4"/>
        <v>insert into business_analytic.report.orenda values(2026, 5, '2021111900', 'Київ,Фора-090 Кубанської,України,47', NULL, 5807348.98, 'TO');</v>
      </c>
    </row>
    <row r="57" spans="1:17" x14ac:dyDescent="0.3">
      <c r="A57" t="s">
        <v>124</v>
      </c>
      <c r="B57" t="s">
        <v>972</v>
      </c>
      <c r="C57" t="s">
        <v>864</v>
      </c>
      <c r="D57" s="2">
        <v>8219203.0800000001</v>
      </c>
      <c r="E57" s="2">
        <v>8072525.5200000005</v>
      </c>
      <c r="F57" s="2">
        <v>8858047.3599999994</v>
      </c>
      <c r="G57" s="2">
        <v>8912013.7199999988</v>
      </c>
      <c r="H57" s="2">
        <v>9296667.5600000005</v>
      </c>
      <c r="I57" s="2">
        <v>9130250.1799999978</v>
      </c>
      <c r="J57" s="2">
        <v>3218589.4599999995</v>
      </c>
      <c r="K57" s="2">
        <v>55707296.879999995</v>
      </c>
      <c r="L57" s="2"/>
      <c r="M57" t="str">
        <f t="shared" si="1"/>
        <v>insert into business_analytic.report.orenda values(2026, 1, '2021112000', 'Київ,Фора-088 Татарська,3/2', NULL, 8219203.08, 'TO');</v>
      </c>
      <c r="N57" t="str">
        <f t="shared" si="2"/>
        <v>insert into business_analytic.report.orenda values(2026, 2, '2021112000', 'Київ,Фора-088 Татарська,3/2', NULL, 8072525.52, 'TO');</v>
      </c>
      <c r="O57" t="str">
        <f t="shared" si="2"/>
        <v>insert into business_analytic.report.orenda values(2026, 3, '2021112000', 'Київ,Фора-088 Татарська,3/2', NULL, 8858047.36, 'TO');</v>
      </c>
      <c r="P57" t="str">
        <f t="shared" si="3"/>
        <v>insert into business_analytic.report.orenda values(2026, 4, '2021112000', 'Київ,Фора-088 Татарська,3/2', NULL, 8912013.72, 'TO');</v>
      </c>
      <c r="Q57" t="str">
        <f t="shared" si="4"/>
        <v>insert into business_analytic.report.orenda values(2026, 5, '2021112000', 'Київ,Фора-088 Татарська,3/2', NULL, 9296667.56, 'TO');</v>
      </c>
    </row>
    <row r="58" spans="1:17" x14ac:dyDescent="0.3">
      <c r="A58" t="s">
        <v>300</v>
      </c>
      <c r="B58" t="s">
        <v>973</v>
      </c>
      <c r="C58" t="s">
        <v>966</v>
      </c>
      <c r="D58" s="2">
        <v>9462636.7899999991</v>
      </c>
      <c r="E58" s="2">
        <v>8910493.3899999987</v>
      </c>
      <c r="F58" s="2">
        <v>10092728.379999997</v>
      </c>
      <c r="G58" s="2">
        <v>10058566.93</v>
      </c>
      <c r="H58" s="2">
        <v>10961163.360000001</v>
      </c>
      <c r="I58" s="2">
        <v>10792696.109999999</v>
      </c>
      <c r="J58" s="2">
        <v>3970660.4</v>
      </c>
      <c r="K58" s="2">
        <v>64248945.359999992</v>
      </c>
      <c r="L58" s="2"/>
      <c r="M58" t="str">
        <f t="shared" si="1"/>
        <v>insert into business_analytic.report.orenda values(2026, 1, '2021112100', 'Київ,Фора-091 Гавела Вацлава,29', NULL, 9462636.79, 'TO');</v>
      </c>
      <c r="N58" t="str">
        <f t="shared" si="2"/>
        <v>insert into business_analytic.report.orenda values(2026, 2, '2021112100', 'Київ,Фора-091 Гавела Вацлава,29', NULL, 8910493.39, 'TO');</v>
      </c>
      <c r="O58" t="str">
        <f t="shared" si="2"/>
        <v>insert into business_analytic.report.orenda values(2026, 3, '2021112100', 'Київ,Фора-091 Гавела Вацлава,29', NULL, 10092728.38, 'TO');</v>
      </c>
      <c r="P58" t="str">
        <f t="shared" si="3"/>
        <v>insert into business_analytic.report.orenda values(2026, 4, '2021112100', 'Київ,Фора-091 Гавела Вацлава,29', NULL, 10058566.93, 'TO');</v>
      </c>
      <c r="Q58" t="str">
        <f t="shared" si="4"/>
        <v>insert into business_analytic.report.orenda values(2026, 5, '2021112100', 'Київ,Фора-091 Гавела Вацлава,29', NULL, 10961163.36, 'TO');</v>
      </c>
    </row>
    <row r="59" spans="1:17" x14ac:dyDescent="0.3">
      <c r="A59" t="s">
        <v>301</v>
      </c>
      <c r="B59" t="s">
        <v>974</v>
      </c>
      <c r="C59" t="s">
        <v>975</v>
      </c>
      <c r="D59" s="2">
        <v>7748615.8300000001</v>
      </c>
      <c r="E59" s="2">
        <v>1868394.91</v>
      </c>
      <c r="F59" s="2"/>
      <c r="G59" s="2">
        <v>3356597.9799999995</v>
      </c>
      <c r="H59" s="2">
        <v>11262771.300000001</v>
      </c>
      <c r="I59" s="2">
        <v>10763999.75</v>
      </c>
      <c r="J59" s="2">
        <v>3912586.46</v>
      </c>
      <c r="K59" s="2">
        <v>38912966.229999997</v>
      </c>
      <c r="L59" s="2"/>
      <c r="M59" t="str">
        <f t="shared" si="1"/>
        <v>insert into business_analytic.report.orenda values(2026, 1, '2021112300', 'Київ,Фора-087 Бальзака,42/20', NULL, 7748615.83, 'TO');</v>
      </c>
      <c r="N59" t="str">
        <f t="shared" si="2"/>
        <v>insert into business_analytic.report.orenda values(2026, 2, '2021112300', 'Київ,Фора-087 Бальзака,42/20', NULL, 1868394.91, 'TO');</v>
      </c>
      <c r="O59" t="str">
        <f t="shared" si="2"/>
        <v>insert into business_analytic.report.orenda values(2026, 3, '2021112300', 'Київ,Фора-087 Бальзака,42/20', NULL, 0, 'TO');</v>
      </c>
      <c r="P59" t="str">
        <f t="shared" si="3"/>
        <v>insert into business_analytic.report.orenda values(2026, 4, '2021112300', 'Київ,Фора-087 Бальзака,42/20', NULL, 3356597.98, 'TO');</v>
      </c>
      <c r="Q59" t="str">
        <f t="shared" si="4"/>
        <v>insert into business_analytic.report.orenda values(2026, 5, '2021112300', 'Київ,Фора-087 Бальзака,42/20', NULL, 11262771.3, 'TO');</v>
      </c>
    </row>
    <row r="60" spans="1:17" x14ac:dyDescent="0.3">
      <c r="A60" t="s">
        <v>302</v>
      </c>
      <c r="B60" t="s">
        <v>976</v>
      </c>
      <c r="C60" t="s">
        <v>977</v>
      </c>
      <c r="D60" s="2">
        <v>8087688.1399999987</v>
      </c>
      <c r="E60" s="2">
        <v>7435010.3700000001</v>
      </c>
      <c r="F60" s="2">
        <v>8567038.7000000011</v>
      </c>
      <c r="G60" s="2">
        <v>8390249.1999999993</v>
      </c>
      <c r="H60" s="2">
        <v>8571646.3899999987</v>
      </c>
      <c r="I60" s="2">
        <v>8110620.3499999996</v>
      </c>
      <c r="J60" s="2">
        <v>2966290.34</v>
      </c>
      <c r="K60" s="2">
        <v>52128543.489999995</v>
      </c>
      <c r="L60" s="2"/>
      <c r="M60" t="str">
        <f t="shared" si="1"/>
        <v>insert into business_analytic.report.orenda values(2026, 1, '2021112400', 'Київ,Фора-272 Червоної Калини,63/12', NULL, 8087688.14, 'TO');</v>
      </c>
      <c r="N60" t="str">
        <f t="shared" si="2"/>
        <v>insert into business_analytic.report.orenda values(2026, 2, '2021112400', 'Київ,Фора-272 Червоної Калини,63/12', NULL, 7435010.37, 'TO');</v>
      </c>
      <c r="O60" t="str">
        <f t="shared" si="2"/>
        <v>insert into business_analytic.report.orenda values(2026, 3, '2021112400', 'Київ,Фора-272 Червоної Калини,63/12', NULL, 8567038.7, 'TO');</v>
      </c>
      <c r="P60" t="str">
        <f t="shared" si="3"/>
        <v>insert into business_analytic.report.orenda values(2026, 4, '2021112400', 'Київ,Фора-272 Червоної Калини,63/12', NULL, 8390249.2, 'TO');</v>
      </c>
      <c r="Q60" t="str">
        <f t="shared" si="4"/>
        <v>insert into business_analytic.report.orenda values(2026, 5, '2021112400', 'Київ,Фора-272 Червоної Калини,63/12', NULL, 8571646.39, 'TO');</v>
      </c>
    </row>
    <row r="61" spans="1:17" x14ac:dyDescent="0.3">
      <c r="A61" t="s">
        <v>303</v>
      </c>
      <c r="B61" t="s">
        <v>978</v>
      </c>
      <c r="C61" t="s">
        <v>979</v>
      </c>
      <c r="D61" s="2">
        <v>6337540.0800000001</v>
      </c>
      <c r="E61" s="2">
        <v>5722464.9400000004</v>
      </c>
      <c r="F61" s="2">
        <v>6585264.7000000002</v>
      </c>
      <c r="G61" s="2">
        <v>6544323.209999999</v>
      </c>
      <c r="H61" s="2">
        <v>6958673.6500000004</v>
      </c>
      <c r="I61" s="2">
        <v>6634160.6899999995</v>
      </c>
      <c r="J61" s="2">
        <v>2459943.0199999996</v>
      </c>
      <c r="K61" s="2">
        <v>41242370.289999999</v>
      </c>
      <c r="L61" s="2"/>
      <c r="M61" t="str">
        <f t="shared" si="1"/>
        <v>insert into business_analytic.report.orenda values(2026, 1, '2021112600', 'Київ,Фора-095 Алматинська,41Б', NULL, 6337540.08, 'TO');</v>
      </c>
      <c r="N61" t="str">
        <f t="shared" si="2"/>
        <v>insert into business_analytic.report.orenda values(2026, 2, '2021112600', 'Київ,Фора-095 Алматинська,41Б', NULL, 5722464.94, 'TO');</v>
      </c>
      <c r="O61" t="str">
        <f t="shared" si="2"/>
        <v>insert into business_analytic.report.orenda values(2026, 3, '2021112600', 'Київ,Фора-095 Алматинська,41Б', NULL, 6585264.7, 'TO');</v>
      </c>
      <c r="P61" t="str">
        <f t="shared" si="3"/>
        <v>insert into business_analytic.report.orenda values(2026, 4, '2021112600', 'Київ,Фора-095 Алматинська,41Б', NULL, 6544323.21, 'TO');</v>
      </c>
      <c r="Q61" t="str">
        <f t="shared" si="4"/>
        <v>insert into business_analytic.report.orenda values(2026, 5, '2021112600', 'Київ,Фора-095 Алматинська,41Б', NULL, 6958673.65, 'TO');</v>
      </c>
    </row>
    <row r="62" spans="1:17" x14ac:dyDescent="0.3">
      <c r="A62" t="s">
        <v>125</v>
      </c>
      <c r="B62" t="s">
        <v>672</v>
      </c>
      <c r="C62" t="s">
        <v>724</v>
      </c>
      <c r="D62" s="2">
        <v>19818176.18</v>
      </c>
      <c r="E62" s="2">
        <v>18535000.379999999</v>
      </c>
      <c r="F62" s="2">
        <v>20416064.640000001</v>
      </c>
      <c r="G62" s="2">
        <v>21164123.43</v>
      </c>
      <c r="H62" s="2">
        <v>21996987.09</v>
      </c>
      <c r="I62" s="2">
        <v>21294945.640000001</v>
      </c>
      <c r="J62" s="2">
        <v>8294196.1999999993</v>
      </c>
      <c r="K62" s="2">
        <v>131519493.56</v>
      </c>
      <c r="L62" s="2"/>
      <c r="M62" t="str">
        <f t="shared" si="1"/>
        <v>insert into business_analytic.report.orenda values(2026, 1, '2021112900', 'Кагарлик,Фора-101 Торгівельна,6', NULL, 19818176.18, 'TO');</v>
      </c>
      <c r="N62" t="str">
        <f t="shared" si="2"/>
        <v>insert into business_analytic.report.orenda values(2026, 2, '2021112900', 'Кагарлик,Фора-101 Торгівельна,6', NULL, 18535000.38, 'TO');</v>
      </c>
      <c r="O62" t="str">
        <f t="shared" si="2"/>
        <v>insert into business_analytic.report.orenda values(2026, 3, '2021112900', 'Кагарлик,Фора-101 Торгівельна,6', NULL, 20416064.64, 'TO');</v>
      </c>
      <c r="P62" t="str">
        <f t="shared" si="3"/>
        <v>insert into business_analytic.report.orenda values(2026, 4, '2021112900', 'Кагарлик,Фора-101 Торгівельна,6', NULL, 21164123.43, 'TO');</v>
      </c>
      <c r="Q62" t="str">
        <f t="shared" si="4"/>
        <v>insert into business_analytic.report.orenda values(2026, 5, '2021112900', 'Кагарлик,Фора-101 Торгівельна,6', NULL, 21996987.09, 'TO');</v>
      </c>
    </row>
    <row r="63" spans="1:17" x14ac:dyDescent="0.3">
      <c r="A63" t="s">
        <v>126</v>
      </c>
      <c r="B63" t="s">
        <v>445</v>
      </c>
      <c r="C63" t="s">
        <v>724</v>
      </c>
      <c r="D63" s="2">
        <v>14826239.380000001</v>
      </c>
      <c r="E63" s="2">
        <v>13370997.140000001</v>
      </c>
      <c r="F63" s="2">
        <v>15036298.499999998</v>
      </c>
      <c r="G63" s="2">
        <v>14414804.42</v>
      </c>
      <c r="H63" s="2">
        <v>15383365.950000001</v>
      </c>
      <c r="I63" s="2">
        <v>14529763.419999998</v>
      </c>
      <c r="J63" s="2">
        <v>5526430.8699999992</v>
      </c>
      <c r="K63" s="2">
        <v>93087899.680000007</v>
      </c>
      <c r="L63" s="2"/>
      <c r="M63" t="str">
        <f t="shared" si="1"/>
        <v>insert into business_analytic.report.orenda values(2026, 1, '2021113000', 'Конотоп,Фора-102 Лазаревського,12', NULL, 14826239.38, 'TO');</v>
      </c>
      <c r="N63" t="str">
        <f t="shared" si="2"/>
        <v>insert into business_analytic.report.orenda values(2026, 2, '2021113000', 'Конотоп,Фора-102 Лазаревського,12', NULL, 13370997.14, 'TO');</v>
      </c>
      <c r="O63" t="str">
        <f t="shared" si="2"/>
        <v>insert into business_analytic.report.orenda values(2026, 3, '2021113000', 'Конотоп,Фора-102 Лазаревського,12', NULL, 15036298.5, 'TO');</v>
      </c>
      <c r="P63" t="str">
        <f t="shared" si="3"/>
        <v>insert into business_analytic.report.orenda values(2026, 4, '2021113000', 'Конотоп,Фора-102 Лазаревського,12', NULL, 14414804.42, 'TO');</v>
      </c>
      <c r="Q63" t="str">
        <f t="shared" si="4"/>
        <v>insert into business_analytic.report.orenda values(2026, 5, '2021113000', 'Конотоп,Фора-102 Лазаревського,12', NULL, 15383365.95, 'TO');</v>
      </c>
    </row>
    <row r="64" spans="1:17" x14ac:dyDescent="0.3">
      <c r="A64" t="s">
        <v>127</v>
      </c>
      <c r="B64" t="s">
        <v>446</v>
      </c>
      <c r="C64" t="s">
        <v>725</v>
      </c>
      <c r="D64" s="2">
        <v>16804449.579999998</v>
      </c>
      <c r="E64" s="2">
        <v>15653045.27</v>
      </c>
      <c r="F64" s="2">
        <v>18353727.800000001</v>
      </c>
      <c r="G64" s="2">
        <v>18242414.09</v>
      </c>
      <c r="H64" s="2">
        <v>20245144.77</v>
      </c>
      <c r="I64" s="2">
        <v>17666764.429999996</v>
      </c>
      <c r="J64" s="2">
        <v>6500903.919999999</v>
      </c>
      <c r="K64" s="2">
        <v>113466449.86</v>
      </c>
      <c r="L64" s="2"/>
      <c r="M64" t="str">
        <f t="shared" si="1"/>
        <v>insert into business_analytic.report.orenda values(2026, 1, '2021113100', 'Немішаєве,Фора-103 Заводська,49А', NULL, 16804449.58, 'TO');</v>
      </c>
      <c r="N64" t="str">
        <f t="shared" si="2"/>
        <v>insert into business_analytic.report.orenda values(2026, 2, '2021113100', 'Немішаєве,Фора-103 Заводська,49А', NULL, 15653045.27, 'TO');</v>
      </c>
      <c r="O64" t="str">
        <f t="shared" si="2"/>
        <v>insert into business_analytic.report.orenda values(2026, 3, '2021113100', 'Немішаєве,Фора-103 Заводська,49А', NULL, 18353727.8, 'TO');</v>
      </c>
      <c r="P64" t="str">
        <f t="shared" si="3"/>
        <v>insert into business_analytic.report.orenda values(2026, 4, '2021113100', 'Немішаєве,Фора-103 Заводська,49А', NULL, 18242414.09, 'TO');</v>
      </c>
      <c r="Q64" t="str">
        <f t="shared" si="4"/>
        <v>insert into business_analytic.report.orenda values(2026, 5, '2021113100', 'Немішаєве,Фора-103 Заводська,49А', NULL, 20245144.77, 'TO');</v>
      </c>
    </row>
    <row r="65" spans="1:17" x14ac:dyDescent="0.3">
      <c r="A65" t="s">
        <v>128</v>
      </c>
      <c r="B65" t="s">
        <v>447</v>
      </c>
      <c r="C65" t="s">
        <v>724</v>
      </c>
      <c r="D65" s="2">
        <v>12265952.079999998</v>
      </c>
      <c r="E65" s="2">
        <v>11322145.110000001</v>
      </c>
      <c r="F65" s="2">
        <v>12379370.449999999</v>
      </c>
      <c r="G65" s="2">
        <v>11559432.120000001</v>
      </c>
      <c r="H65" s="2">
        <v>12157785.26</v>
      </c>
      <c r="I65" s="2">
        <v>11718556.729999999</v>
      </c>
      <c r="J65" s="2">
        <v>4310353.7899999991</v>
      </c>
      <c r="K65" s="2">
        <v>75713595.539999992</v>
      </c>
      <c r="L65" s="2"/>
      <c r="M65" t="str">
        <f t="shared" si="1"/>
        <v>insert into business_analytic.report.orenda values(2026, 1, '2021113300', 'Київ,Фора-105 Руденка,7Б', NULL, 12265952.08, 'TO');</v>
      </c>
      <c r="N65" t="str">
        <f t="shared" si="2"/>
        <v>insert into business_analytic.report.orenda values(2026, 2, '2021113300', 'Київ,Фора-105 Руденка,7Б', NULL, 11322145.11, 'TO');</v>
      </c>
      <c r="O65" t="str">
        <f t="shared" si="2"/>
        <v>insert into business_analytic.report.orenda values(2026, 3, '2021113300', 'Київ,Фора-105 Руденка,7Б', NULL, 12379370.45, 'TO');</v>
      </c>
      <c r="P65" t="str">
        <f t="shared" si="3"/>
        <v>insert into business_analytic.report.orenda values(2026, 4, '2021113300', 'Київ,Фора-105 Руденка,7Б', NULL, 11559432.12, 'TO');</v>
      </c>
      <c r="Q65" t="str">
        <f t="shared" si="4"/>
        <v>insert into business_analytic.report.orenda values(2026, 5, '2021113300', 'Київ,Фора-105 Руденка,7Б', NULL, 12157785.26, 'TO');</v>
      </c>
    </row>
    <row r="66" spans="1:17" x14ac:dyDescent="0.3">
      <c r="A66" t="s">
        <v>3</v>
      </c>
      <c r="B66" t="s">
        <v>698</v>
      </c>
      <c r="C66" t="s">
        <v>726</v>
      </c>
      <c r="D66" s="2">
        <v>2512383.42</v>
      </c>
      <c r="E66" s="2"/>
      <c r="F66" s="2"/>
      <c r="G66" s="2">
        <v>12433886.610000001</v>
      </c>
      <c r="H66" s="2">
        <v>13079921.709999999</v>
      </c>
      <c r="I66" s="2">
        <v>12543283.149999999</v>
      </c>
      <c r="J66" s="2">
        <v>4677982.8299999991</v>
      </c>
      <c r="K66" s="2">
        <v>45247457.719999999</v>
      </c>
      <c r="L66" s="2"/>
      <c r="M66" t="str">
        <f t="shared" si="1"/>
        <v>insert into business_analytic.report.orenda values(2026, 1, '2021113400', 'Київ,Фора-106 Заболотного,48А', NULL, 2512383.42, 'TO');</v>
      </c>
      <c r="N66" t="str">
        <f t="shared" si="2"/>
        <v>insert into business_analytic.report.orenda values(2026, 2, '2021113400', 'Київ,Фора-106 Заболотного,48А', NULL, 0, 'TO');</v>
      </c>
      <c r="O66" t="str">
        <f t="shared" si="2"/>
        <v>insert into business_analytic.report.orenda values(2026, 3, '2021113400', 'Київ,Фора-106 Заболотного,48А', NULL, 0, 'TO');</v>
      </c>
      <c r="P66" t="str">
        <f t="shared" si="3"/>
        <v>insert into business_analytic.report.orenda values(2026, 4, '2021113400', 'Київ,Фора-106 Заболотного,48А', NULL, 12433886.61, 'TO');</v>
      </c>
      <c r="Q66" t="str">
        <f t="shared" si="4"/>
        <v>insert into business_analytic.report.orenda values(2026, 5, '2021113400', 'Київ,Фора-106 Заболотного,48А', NULL, 13079921.71, 'TO');</v>
      </c>
    </row>
    <row r="67" spans="1:17" x14ac:dyDescent="0.3">
      <c r="A67" t="s">
        <v>129</v>
      </c>
      <c r="B67" t="s">
        <v>448</v>
      </c>
      <c r="C67" t="s">
        <v>724</v>
      </c>
      <c r="D67" s="2">
        <v>8372327.0100000007</v>
      </c>
      <c r="E67" s="2">
        <v>8018880.9799999995</v>
      </c>
      <c r="F67" s="2">
        <v>8511674.5299999993</v>
      </c>
      <c r="G67" s="2">
        <v>8680644.9800000023</v>
      </c>
      <c r="H67" s="2">
        <v>8778064.3199999984</v>
      </c>
      <c r="I67" s="2">
        <v>8875994.339999998</v>
      </c>
      <c r="J67" s="2">
        <v>3550688.78</v>
      </c>
      <c r="K67" s="2">
        <v>54788274.939999998</v>
      </c>
      <c r="L67" s="2"/>
      <c r="M67" t="str">
        <f t="shared" si="1"/>
        <v>insert into business_analytic.report.orenda values(2026, 1, '2021113700', 'Рокитне,Фора-111 Першотравнева,11', NULL, 8372327.01, 'TO');</v>
      </c>
      <c r="N67" t="str">
        <f t="shared" si="2"/>
        <v>insert into business_analytic.report.orenda values(2026, 2, '2021113700', 'Рокитне,Фора-111 Першотравнева,11', NULL, 8018880.98, 'TO');</v>
      </c>
      <c r="O67" t="str">
        <f t="shared" si="2"/>
        <v>insert into business_analytic.report.orenda values(2026, 3, '2021113700', 'Рокитне,Фора-111 Першотравнева,11', NULL, 8511674.53, 'TO');</v>
      </c>
      <c r="P67" t="str">
        <f t="shared" si="3"/>
        <v>insert into business_analytic.report.orenda values(2026, 4, '2021113700', 'Рокитне,Фора-111 Першотравнева,11', NULL, 8680644.98, 'TO');</v>
      </c>
      <c r="Q67" t="str">
        <f t="shared" si="4"/>
        <v>insert into business_analytic.report.orenda values(2026, 5, '2021113700', 'Рокитне,Фора-111 Першотравнева,11', NULL, 8778064.32, 'TO');</v>
      </c>
    </row>
    <row r="68" spans="1:17" x14ac:dyDescent="0.3">
      <c r="A68" t="s">
        <v>130</v>
      </c>
      <c r="B68" t="s">
        <v>449</v>
      </c>
      <c r="C68" t="s">
        <v>727</v>
      </c>
      <c r="D68" s="2">
        <v>10966446.289999999</v>
      </c>
      <c r="E68" s="2">
        <v>10560391.4</v>
      </c>
      <c r="F68" s="2">
        <v>11774777.469999999</v>
      </c>
      <c r="G68" s="2">
        <v>11591705.51</v>
      </c>
      <c r="H68" s="2">
        <v>12531951.16</v>
      </c>
      <c r="I68" s="2">
        <v>11927248.560000001</v>
      </c>
      <c r="J68" s="2">
        <v>4619423.41</v>
      </c>
      <c r="K68" s="2">
        <v>73971943.800000012</v>
      </c>
      <c r="L68" s="2"/>
      <c r="M68" t="str">
        <f t="shared" si="1"/>
        <v>insert into business_analytic.report.orenda values(2026, 1, '2021113800', 'Бориспіль,Фора-108 Київський шлях,100', NULL, 10966446.29, 'TO');</v>
      </c>
      <c r="N68" t="str">
        <f t="shared" si="2"/>
        <v>insert into business_analytic.report.orenda values(2026, 2, '2021113800', 'Бориспіль,Фора-108 Київський шлях,100', NULL, 10560391.4, 'TO');</v>
      </c>
      <c r="O68" t="str">
        <f t="shared" si="2"/>
        <v>insert into business_analytic.report.orenda values(2026, 3, '2021113800', 'Бориспіль,Фора-108 Київський шлях,100', NULL, 11774777.47, 'TO');</v>
      </c>
      <c r="P68" t="str">
        <f t="shared" si="3"/>
        <v>insert into business_analytic.report.orenda values(2026, 4, '2021113800', 'Бориспіль,Фора-108 Київський шлях,100', NULL, 11591705.51, 'TO');</v>
      </c>
      <c r="Q68" t="str">
        <f t="shared" si="4"/>
        <v>insert into business_analytic.report.orenda values(2026, 5, '2021113800', 'Бориспіль,Фора-108 Київський шлях,100', NULL, 12531951.16, 'TO');</v>
      </c>
    </row>
    <row r="69" spans="1:17" x14ac:dyDescent="0.3">
      <c r="A69" t="s">
        <v>304</v>
      </c>
      <c r="B69" t="s">
        <v>980</v>
      </c>
      <c r="C69" t="s">
        <v>981</v>
      </c>
      <c r="D69" s="2">
        <v>12040665.1</v>
      </c>
      <c r="E69" s="2">
        <v>11455869.550000001</v>
      </c>
      <c r="F69" s="2">
        <v>12831450.309999999</v>
      </c>
      <c r="G69" s="2">
        <v>12871055.18</v>
      </c>
      <c r="H69" s="2">
        <v>13632911.789999999</v>
      </c>
      <c r="I69" s="2">
        <v>13082869.01</v>
      </c>
      <c r="J69" s="2">
        <v>4410979.32</v>
      </c>
      <c r="K69" s="2">
        <v>80325800.25999999</v>
      </c>
      <c r="L69" s="2"/>
      <c r="M69" t="str">
        <f t="shared" si="1"/>
        <v>insert into business_analytic.report.orenda values(2026, 1, '2021113900', 'Київ,Фора-109 Доброхотова,11А', NULL, 12040665.1, 'TO');</v>
      </c>
      <c r="N69" t="str">
        <f t="shared" si="2"/>
        <v>insert into business_analytic.report.orenda values(2026, 2, '2021113900', 'Київ,Фора-109 Доброхотова,11А', NULL, 11455869.55, 'TO');</v>
      </c>
      <c r="O69" t="str">
        <f t="shared" si="2"/>
        <v>insert into business_analytic.report.orenda values(2026, 3, '2021113900', 'Київ,Фора-109 Доброхотова,11А', NULL, 12831450.31, 'TO');</v>
      </c>
      <c r="P69" t="str">
        <f t="shared" si="3"/>
        <v>insert into business_analytic.report.orenda values(2026, 4, '2021113900', 'Київ,Фора-109 Доброхотова,11А', NULL, 12871055.18, 'TO');</v>
      </c>
      <c r="Q69" t="str">
        <f t="shared" si="4"/>
        <v>insert into business_analytic.report.orenda values(2026, 5, '2021113900', 'Київ,Фора-109 Доброхотова,11А', NULL, 13632911.79, 'TO');</v>
      </c>
    </row>
    <row r="70" spans="1:17" x14ac:dyDescent="0.3">
      <c r="A70" t="s">
        <v>305</v>
      </c>
      <c r="B70" t="s">
        <v>982</v>
      </c>
      <c r="C70" t="s">
        <v>983</v>
      </c>
      <c r="D70" s="2">
        <v>12060051.499999998</v>
      </c>
      <c r="E70" s="2">
        <v>11538902.199999999</v>
      </c>
      <c r="F70" s="2">
        <v>12338621.729999999</v>
      </c>
      <c r="G70" s="2">
        <v>11946007.949999997</v>
      </c>
      <c r="H70" s="2">
        <v>12529610.629999999</v>
      </c>
      <c r="I70" s="2">
        <v>12247885.42</v>
      </c>
      <c r="J70" s="2">
        <v>4628620.47</v>
      </c>
      <c r="K70" s="2">
        <v>77289699.899999991</v>
      </c>
      <c r="L70" s="2"/>
      <c r="M70" t="str">
        <f t="shared" si="1"/>
        <v>insert into business_analytic.report.orenda values(2026, 1, '2021114100', 'Українка,Фора-114 Юності,3', NULL, 12060051.5, 'TO');</v>
      </c>
      <c r="N70" t="str">
        <f t="shared" si="2"/>
        <v>insert into business_analytic.report.orenda values(2026, 2, '2021114100', 'Українка,Фора-114 Юності,3', NULL, 11538902.2, 'TO');</v>
      </c>
      <c r="O70" t="str">
        <f t="shared" si="2"/>
        <v>insert into business_analytic.report.orenda values(2026, 3, '2021114100', 'Українка,Фора-114 Юності,3', NULL, 12338621.73, 'TO');</v>
      </c>
      <c r="P70" t="str">
        <f t="shared" si="3"/>
        <v>insert into business_analytic.report.orenda values(2026, 4, '2021114100', 'Українка,Фора-114 Юності,3', NULL, 11946007.95, 'TO');</v>
      </c>
      <c r="Q70" t="str">
        <f t="shared" si="4"/>
        <v>insert into business_analytic.report.orenda values(2026, 5, '2021114100', 'Українка,Фора-114 Юності,3', NULL, 12529610.63, 'TO');</v>
      </c>
    </row>
    <row r="71" spans="1:17" x14ac:dyDescent="0.3">
      <c r="A71" t="s">
        <v>131</v>
      </c>
      <c r="B71" t="s">
        <v>450</v>
      </c>
      <c r="C71" t="s">
        <v>728</v>
      </c>
      <c r="D71" s="2">
        <v>6557527.9399999995</v>
      </c>
      <c r="E71" s="2">
        <v>6326801.2199999997</v>
      </c>
      <c r="F71" s="2">
        <v>6902535.6500000004</v>
      </c>
      <c r="G71" s="2">
        <v>6655053.3300000001</v>
      </c>
      <c r="H71" s="2">
        <v>7110875.5800000001</v>
      </c>
      <c r="I71" s="2">
        <v>6573867.4900000002</v>
      </c>
      <c r="J71" s="2">
        <v>2402362.6</v>
      </c>
      <c r="K71" s="2">
        <v>42529023.810000002</v>
      </c>
      <c r="L71" s="2"/>
      <c r="M71" t="str">
        <f t="shared" si="1"/>
        <v>insert into business_analytic.report.orenda values(2026, 1, '2021114200', 'Київ,Фора-115 Руденка,24', NULL, 6557527.94, 'TO');</v>
      </c>
      <c r="N71" t="str">
        <f t="shared" si="2"/>
        <v>insert into business_analytic.report.orenda values(2026, 2, '2021114200', 'Київ,Фора-115 Руденка,24', NULL, 6326801.22, 'TO');</v>
      </c>
      <c r="O71" t="str">
        <f t="shared" si="2"/>
        <v>insert into business_analytic.report.orenda values(2026, 3, '2021114200', 'Київ,Фора-115 Руденка,24', NULL, 6902535.65, 'TO');</v>
      </c>
      <c r="P71" t="str">
        <f t="shared" si="3"/>
        <v>insert into business_analytic.report.orenda values(2026, 4, '2021114200', 'Київ,Фора-115 Руденка,24', NULL, 6655053.33, 'TO');</v>
      </c>
      <c r="Q71" t="str">
        <f t="shared" si="4"/>
        <v>insert into business_analytic.report.orenda values(2026, 5, '2021114200', 'Київ,Фора-115 Руденка,24', NULL, 7110875.58, 'TO');</v>
      </c>
    </row>
    <row r="72" spans="1:17" x14ac:dyDescent="0.3">
      <c r="A72" t="s">
        <v>4</v>
      </c>
      <c r="B72" t="s">
        <v>451</v>
      </c>
      <c r="C72" t="s">
        <v>724</v>
      </c>
      <c r="D72" s="2">
        <v>7094801.4199999999</v>
      </c>
      <c r="E72" s="2">
        <v>6819164.2199999997</v>
      </c>
      <c r="F72" s="2">
        <v>7578384.8099999996</v>
      </c>
      <c r="G72" s="2">
        <v>5674661.3399999999</v>
      </c>
      <c r="H72" s="2"/>
      <c r="I72" s="2"/>
      <c r="J72" s="2">
        <v>3658.79</v>
      </c>
      <c r="K72" s="2">
        <v>27170670.579999998</v>
      </c>
      <c r="L72" s="2"/>
      <c r="M72" t="str">
        <f t="shared" si="1"/>
        <v>insert into business_analytic.report.orenda values(2026, 1, '2021114300', 'Київ,Фора-116 Європейського Союзу,94', NULL, 7094801.42, 'TO');</v>
      </c>
      <c r="N72" t="str">
        <f t="shared" si="2"/>
        <v>insert into business_analytic.report.orenda values(2026, 2, '2021114300', 'Київ,Фора-116 Європейського Союзу,94', NULL, 6819164.22, 'TO');</v>
      </c>
      <c r="O72" t="str">
        <f t="shared" si="2"/>
        <v>insert into business_analytic.report.orenda values(2026, 3, '2021114300', 'Київ,Фора-116 Європейського Союзу,94', NULL, 7578384.81, 'TO');</v>
      </c>
      <c r="P72" t="str">
        <f t="shared" si="3"/>
        <v>insert into business_analytic.report.orenda values(2026, 4, '2021114300', 'Київ,Фора-116 Європейського Союзу,94', NULL, 5674661.34, 'TO');</v>
      </c>
      <c r="Q72" t="str">
        <f t="shared" si="4"/>
        <v>insert into business_analytic.report.orenda values(2026, 5, '2021114300', 'Київ,Фора-116 Європейського Союзу,94', NULL, 0, 'TO');</v>
      </c>
    </row>
    <row r="73" spans="1:17" x14ac:dyDescent="0.3">
      <c r="A73" t="s">
        <v>132</v>
      </c>
      <c r="B73" t="s">
        <v>452</v>
      </c>
      <c r="C73" t="s">
        <v>724</v>
      </c>
      <c r="D73" s="2">
        <v>7519551.7999999998</v>
      </c>
      <c r="E73" s="2">
        <v>7012464.9799999995</v>
      </c>
      <c r="F73" s="2">
        <v>8074801.4399999995</v>
      </c>
      <c r="G73" s="2">
        <v>8075097.9199999999</v>
      </c>
      <c r="H73" s="2">
        <v>8594150.4699999988</v>
      </c>
      <c r="I73" s="2">
        <v>8031567.3299999991</v>
      </c>
      <c r="J73" s="2">
        <v>2970959.73</v>
      </c>
      <c r="K73" s="2">
        <v>50278593.670000002</v>
      </c>
      <c r="L73" s="2"/>
      <c r="M73" t="str">
        <f t="shared" ref="M73:M136" si="5">"insert into business_analytic.report.orenda values("&amp;2026&amp;", "&amp;D$7&amp;", '"&amp;$A73&amp;"', '"&amp;$B73&amp;"', "&amp;"NULL"&amp;", "&amp;IF(D73="",0,D73)&amp;", "&amp;"'TO'"&amp;");"</f>
        <v>insert into business_analytic.report.orenda values(2026, 1, '2021114400', 'Київ,Фора-117 Новомостицька,2', NULL, 7519551.8, 'TO');</v>
      </c>
      <c r="N73" t="str">
        <f t="shared" ref="N73:O136" si="6">"insert into business_analytic.report.orenda values("&amp;2026&amp;", "&amp;E$7&amp;", '"&amp;$A73&amp;"', '"&amp;$B73&amp;"', "&amp;"NULL"&amp;", "&amp;IF(E73="",0,E73)&amp;", "&amp;"'TO'"&amp;");"</f>
        <v>insert into business_analytic.report.orenda values(2026, 2, '2021114400', 'Київ,Фора-117 Новомостицька,2', NULL, 7012464.98, 'TO');</v>
      </c>
      <c r="O73" t="str">
        <f t="shared" si="6"/>
        <v>insert into business_analytic.report.orenda values(2026, 3, '2021114400', 'Київ,Фора-117 Новомостицька,2', NULL, 8074801.44, 'TO');</v>
      </c>
      <c r="P73" t="str">
        <f t="shared" ref="P73:P136" si="7">"insert into business_analytic.report.orenda values("&amp;2026&amp;", "&amp;G$7&amp;", '"&amp;$A73&amp;"', '"&amp;$B73&amp;"', "&amp;"NULL"&amp;", "&amp;IF(G73="",0,G73)&amp;", "&amp;"'TO'"&amp;");"</f>
        <v>insert into business_analytic.report.orenda values(2026, 4, '2021114400', 'Київ,Фора-117 Новомостицька,2', NULL, 8075097.92, 'TO');</v>
      </c>
      <c r="Q73" t="str">
        <f t="shared" ref="Q73:Q136" si="8">"insert into business_analytic.report.orenda values("&amp;2026&amp;", "&amp;H$7&amp;", '"&amp;$A73&amp;"', '"&amp;$B73&amp;"', "&amp;"NULL"&amp;", "&amp;IF(H73="",0,H73)&amp;", "&amp;"'TO'"&amp;");"</f>
        <v>insert into business_analytic.report.orenda values(2026, 5, '2021114400', 'Київ,Фора-117 Новомостицька,2', NULL, 8594150.47, 'TO');</v>
      </c>
    </row>
    <row r="74" spans="1:17" x14ac:dyDescent="0.3">
      <c r="A74" t="s">
        <v>133</v>
      </c>
      <c r="B74" t="s">
        <v>453</v>
      </c>
      <c r="C74" t="s">
        <v>724</v>
      </c>
      <c r="D74" s="2">
        <v>9679202.620000001</v>
      </c>
      <c r="E74" s="2">
        <v>8650939.6899999995</v>
      </c>
      <c r="F74" s="2">
        <v>10216869.039999999</v>
      </c>
      <c r="G74" s="2">
        <v>10908047.02</v>
      </c>
      <c r="H74" s="2">
        <v>11783816.359999999</v>
      </c>
      <c r="I74" s="2">
        <v>11062260.439999999</v>
      </c>
      <c r="J74" s="2">
        <v>3994067.85</v>
      </c>
      <c r="K74" s="2">
        <v>66295203.019999988</v>
      </c>
      <c r="L74" s="2"/>
      <c r="M74" t="str">
        <f t="shared" si="5"/>
        <v>insert into business_analytic.report.orenda values(2026, 1, '2021114500', 'Київ,Фора-118 Березняківська,36А', NULL, 9679202.62, 'TO');</v>
      </c>
      <c r="N74" t="str">
        <f t="shared" si="6"/>
        <v>insert into business_analytic.report.orenda values(2026, 2, '2021114500', 'Київ,Фора-118 Березняківська,36А', NULL, 8650939.69, 'TO');</v>
      </c>
      <c r="O74" t="str">
        <f t="shared" si="6"/>
        <v>insert into business_analytic.report.orenda values(2026, 3, '2021114500', 'Київ,Фора-118 Березняківська,36А', NULL, 10216869.04, 'TO');</v>
      </c>
      <c r="P74" t="str">
        <f t="shared" si="7"/>
        <v>insert into business_analytic.report.orenda values(2026, 4, '2021114500', 'Київ,Фора-118 Березняківська,36А', NULL, 10908047.02, 'TO');</v>
      </c>
      <c r="Q74" t="str">
        <f t="shared" si="8"/>
        <v>insert into business_analytic.report.orenda values(2026, 5, '2021114500', 'Київ,Фора-118 Березняківська,36А', NULL, 11783816.36, 'TO');</v>
      </c>
    </row>
    <row r="75" spans="1:17" x14ac:dyDescent="0.3">
      <c r="A75" t="s">
        <v>5</v>
      </c>
      <c r="B75" t="s">
        <v>658</v>
      </c>
      <c r="C75" t="s">
        <v>724</v>
      </c>
      <c r="D75" s="2">
        <v>12894456.439999999</v>
      </c>
      <c r="E75" s="2">
        <v>11240294.6</v>
      </c>
      <c r="F75" s="2">
        <v>12408080.640000001</v>
      </c>
      <c r="G75" s="2">
        <v>11833625.439999998</v>
      </c>
      <c r="H75" s="2">
        <v>12663622.689999999</v>
      </c>
      <c r="I75" s="2">
        <v>11844587.77</v>
      </c>
      <c r="J75" s="2">
        <v>4431583</v>
      </c>
      <c r="K75" s="2">
        <v>77316250.579999998</v>
      </c>
      <c r="L75" s="2"/>
      <c r="M75" t="str">
        <f t="shared" si="5"/>
        <v>insert into business_analytic.report.orenda values(2026, 1, '2021114600', 'Київ,Фора-119 Харківське Шосе,8', NULL, 12894456.44, 'TO');</v>
      </c>
      <c r="N75" t="str">
        <f t="shared" si="6"/>
        <v>insert into business_analytic.report.orenda values(2026, 2, '2021114600', 'Київ,Фора-119 Харківське Шосе,8', NULL, 11240294.6, 'TO');</v>
      </c>
      <c r="O75" t="str">
        <f t="shared" si="6"/>
        <v>insert into business_analytic.report.orenda values(2026, 3, '2021114600', 'Київ,Фора-119 Харківське Шосе,8', NULL, 12408080.64, 'TO');</v>
      </c>
      <c r="P75" t="str">
        <f t="shared" si="7"/>
        <v>insert into business_analytic.report.orenda values(2026, 4, '2021114600', 'Київ,Фора-119 Харківське Шосе,8', NULL, 11833625.44, 'TO');</v>
      </c>
      <c r="Q75" t="str">
        <f t="shared" si="8"/>
        <v>insert into business_analytic.report.orenda values(2026, 5, '2021114600', 'Київ,Фора-119 Харківське Шосе,8', NULL, 12663622.69, 'TO');</v>
      </c>
    </row>
    <row r="76" spans="1:17" x14ac:dyDescent="0.3">
      <c r="A76" t="s">
        <v>306</v>
      </c>
      <c r="B76" t="s">
        <v>984</v>
      </c>
      <c r="C76" t="s">
        <v>985</v>
      </c>
      <c r="D76" s="2">
        <v>13970796.560000001</v>
      </c>
      <c r="E76" s="2">
        <v>13896155.159999998</v>
      </c>
      <c r="F76" s="2">
        <v>17232584.670000002</v>
      </c>
      <c r="G76" s="2">
        <v>17285970.77</v>
      </c>
      <c r="H76" s="2">
        <v>17753715.849999998</v>
      </c>
      <c r="I76" s="2">
        <v>16087403.66</v>
      </c>
      <c r="J76" s="2">
        <v>5841259.1200000001</v>
      </c>
      <c r="K76" s="2">
        <v>102067885.78999999</v>
      </c>
      <c r="L76" s="2"/>
      <c r="M76" t="str">
        <f t="shared" si="5"/>
        <v>insert into business_analytic.report.orenda values(2026, 1, '2021114700', 'Київ,Фора-126 Парково-Сирецька,12', NULL, 13970796.56, 'TO');</v>
      </c>
      <c r="N76" t="str">
        <f t="shared" si="6"/>
        <v>insert into business_analytic.report.orenda values(2026, 2, '2021114700', 'Київ,Фора-126 Парково-Сирецька,12', NULL, 13896155.16, 'TO');</v>
      </c>
      <c r="O76" t="str">
        <f t="shared" si="6"/>
        <v>insert into business_analytic.report.orenda values(2026, 3, '2021114700', 'Київ,Фора-126 Парково-Сирецька,12', NULL, 17232584.67, 'TO');</v>
      </c>
      <c r="P76" t="str">
        <f t="shared" si="7"/>
        <v>insert into business_analytic.report.orenda values(2026, 4, '2021114700', 'Київ,Фора-126 Парково-Сирецька,12', NULL, 17285970.77, 'TO');</v>
      </c>
      <c r="Q76" t="str">
        <f t="shared" si="8"/>
        <v>insert into business_analytic.report.orenda values(2026, 5, '2021114700', 'Київ,Фора-126 Парково-Сирецька,12', NULL, 17753715.85, 'TO');</v>
      </c>
    </row>
    <row r="77" spans="1:17" x14ac:dyDescent="0.3">
      <c r="A77" t="s">
        <v>307</v>
      </c>
      <c r="B77" t="s">
        <v>986</v>
      </c>
      <c r="C77" t="s">
        <v>724</v>
      </c>
      <c r="D77" s="2">
        <v>12874106.42</v>
      </c>
      <c r="E77" s="2">
        <v>12340030.810000001</v>
      </c>
      <c r="F77" s="2">
        <v>13622803.869999999</v>
      </c>
      <c r="G77" s="2">
        <v>13429589.719999999</v>
      </c>
      <c r="H77" s="2">
        <v>13762583.92</v>
      </c>
      <c r="I77" s="2">
        <v>12934730.370000001</v>
      </c>
      <c r="J77" s="2">
        <v>4706187.6899999995</v>
      </c>
      <c r="K77" s="2">
        <v>83670032.800000012</v>
      </c>
      <c r="L77" s="2"/>
      <c r="M77" t="str">
        <f t="shared" si="5"/>
        <v>insert into business_analytic.report.orenda values(2026, 1, '2021114800', 'Київ,Фора-120 Берлінського,14', NULL, 12874106.42, 'TO');</v>
      </c>
      <c r="N77" t="str">
        <f t="shared" si="6"/>
        <v>insert into business_analytic.report.orenda values(2026, 2, '2021114800', 'Київ,Фора-120 Берлінського,14', NULL, 12340030.81, 'TO');</v>
      </c>
      <c r="O77" t="str">
        <f t="shared" si="6"/>
        <v>insert into business_analytic.report.orenda values(2026, 3, '2021114800', 'Київ,Фора-120 Берлінського,14', NULL, 13622803.87, 'TO');</v>
      </c>
      <c r="P77" t="str">
        <f t="shared" si="7"/>
        <v>insert into business_analytic.report.orenda values(2026, 4, '2021114800', 'Київ,Фора-120 Берлінського,14', NULL, 13429589.72, 'TO');</v>
      </c>
      <c r="Q77" t="str">
        <f t="shared" si="8"/>
        <v>insert into business_analytic.report.orenda values(2026, 5, '2021114800', 'Київ,Фора-120 Берлінського,14', NULL, 13762583.92, 'TO');</v>
      </c>
    </row>
    <row r="78" spans="1:17" x14ac:dyDescent="0.3">
      <c r="A78" t="s">
        <v>6</v>
      </c>
      <c r="B78" t="s">
        <v>454</v>
      </c>
      <c r="C78" t="s">
        <v>724</v>
      </c>
      <c r="D78" s="2">
        <v>9216098.7499999981</v>
      </c>
      <c r="E78" s="2">
        <v>8848968.2199999988</v>
      </c>
      <c r="F78" s="2">
        <v>10102080.289999999</v>
      </c>
      <c r="G78" s="2">
        <v>7808090.4199999999</v>
      </c>
      <c r="H78" s="2"/>
      <c r="I78" s="2"/>
      <c r="J78" s="2"/>
      <c r="K78" s="2">
        <v>35975237.679999992</v>
      </c>
      <c r="L78" s="2"/>
      <c r="M78" t="str">
        <f t="shared" si="5"/>
        <v>insert into business_analytic.report.orenda values(2026, 1, '2021114900', 'Київ,Фора-121 Глушкова,31А', NULL, 9216098.75, 'TO');</v>
      </c>
      <c r="N78" t="str">
        <f t="shared" si="6"/>
        <v>insert into business_analytic.report.orenda values(2026, 2, '2021114900', 'Київ,Фора-121 Глушкова,31А', NULL, 8848968.22, 'TO');</v>
      </c>
      <c r="O78" t="str">
        <f t="shared" si="6"/>
        <v>insert into business_analytic.report.orenda values(2026, 3, '2021114900', 'Київ,Фора-121 Глушкова,31А', NULL, 10102080.29, 'TO');</v>
      </c>
      <c r="P78" t="str">
        <f t="shared" si="7"/>
        <v>insert into business_analytic.report.orenda values(2026, 4, '2021114900', 'Київ,Фора-121 Глушкова,31А', NULL, 7808090.42, 'TO');</v>
      </c>
      <c r="Q78" t="str">
        <f t="shared" si="8"/>
        <v>insert into business_analytic.report.orenda values(2026, 5, '2021114900', 'Київ,Фора-121 Глушкова,31А', NULL, 0, 'TO');</v>
      </c>
    </row>
    <row r="79" spans="1:17" x14ac:dyDescent="0.3">
      <c r="A79" t="s">
        <v>134</v>
      </c>
      <c r="B79" t="s">
        <v>455</v>
      </c>
      <c r="C79" t="s">
        <v>724</v>
      </c>
      <c r="D79" s="2">
        <v>8457064.0599999987</v>
      </c>
      <c r="E79" s="2">
        <v>9249230.8300000001</v>
      </c>
      <c r="F79" s="2">
        <v>10083639.799999997</v>
      </c>
      <c r="G79" s="2">
        <v>10179324.159999998</v>
      </c>
      <c r="H79" s="2">
        <v>10780350.18</v>
      </c>
      <c r="I79" s="2">
        <v>10263987.279999999</v>
      </c>
      <c r="J79" s="2">
        <v>3644317.6899999995</v>
      </c>
      <c r="K79" s="2">
        <v>62657913.999999993</v>
      </c>
      <c r="L79" s="2"/>
      <c r="M79" t="str">
        <f t="shared" si="5"/>
        <v>insert into business_analytic.report.orenda values(2026, 1, '2021115200', 'Вишневе,Фора-124 Святошинська,40', NULL, 8457064.06, 'TO');</v>
      </c>
      <c r="N79" t="str">
        <f t="shared" si="6"/>
        <v>insert into business_analytic.report.orenda values(2026, 2, '2021115200', 'Вишневе,Фора-124 Святошинська,40', NULL, 9249230.83, 'TO');</v>
      </c>
      <c r="O79" t="str">
        <f t="shared" si="6"/>
        <v>insert into business_analytic.report.orenda values(2026, 3, '2021115200', 'Вишневе,Фора-124 Святошинська,40', NULL, 10083639.8, 'TO');</v>
      </c>
      <c r="P79" t="str">
        <f t="shared" si="7"/>
        <v>insert into business_analytic.report.orenda values(2026, 4, '2021115200', 'Вишневе,Фора-124 Святошинська,40', NULL, 10179324.16, 'TO');</v>
      </c>
      <c r="Q79" t="str">
        <f t="shared" si="8"/>
        <v>insert into business_analytic.report.orenda values(2026, 5, '2021115200', 'Вишневе,Фора-124 Святошинська,40', NULL, 10780350.18, 'TO');</v>
      </c>
    </row>
    <row r="80" spans="1:17" x14ac:dyDescent="0.3">
      <c r="A80" t="s">
        <v>135</v>
      </c>
      <c r="B80" t="s">
        <v>687</v>
      </c>
      <c r="C80" t="s">
        <v>724</v>
      </c>
      <c r="D80" s="2">
        <v>7190481.3399999999</v>
      </c>
      <c r="E80" s="2">
        <v>6403608.0999999996</v>
      </c>
      <c r="F80" s="2">
        <v>7056583.8399999999</v>
      </c>
      <c r="G80" s="2">
        <v>7161542.0599999996</v>
      </c>
      <c r="H80" s="2">
        <v>7286193.1600000001</v>
      </c>
      <c r="I80" s="2">
        <v>6810652.1500000013</v>
      </c>
      <c r="J80" s="2">
        <v>2514215.6</v>
      </c>
      <c r="K80" s="2">
        <v>44423276.25</v>
      </c>
      <c r="L80" s="2"/>
      <c r="M80" t="str">
        <f t="shared" si="5"/>
        <v>insert into business_analytic.report.orenda values(2026, 1, '2021115400', 'Київ,Фора-128 Вишгородська,44', NULL, 7190481.34, 'TO');</v>
      </c>
      <c r="N80" t="str">
        <f t="shared" si="6"/>
        <v>insert into business_analytic.report.orenda values(2026, 2, '2021115400', 'Київ,Фора-128 Вишгородська,44', NULL, 6403608.1, 'TO');</v>
      </c>
      <c r="O80" t="str">
        <f t="shared" si="6"/>
        <v>insert into business_analytic.report.orenda values(2026, 3, '2021115400', 'Київ,Фора-128 Вишгородська,44', NULL, 7056583.84, 'TO');</v>
      </c>
      <c r="P80" t="str">
        <f t="shared" si="7"/>
        <v>insert into business_analytic.report.orenda values(2026, 4, '2021115400', 'Київ,Фора-128 Вишгородська,44', NULL, 7161542.06, 'TO');</v>
      </c>
      <c r="Q80" t="str">
        <f t="shared" si="8"/>
        <v>insert into business_analytic.report.orenda values(2026, 5, '2021115400', 'Київ,Фора-128 Вишгородська,44', NULL, 7286193.16, 'TO');</v>
      </c>
    </row>
    <row r="81" spans="1:17" x14ac:dyDescent="0.3">
      <c r="A81" t="s">
        <v>136</v>
      </c>
      <c r="B81" t="s">
        <v>456</v>
      </c>
      <c r="C81" t="s">
        <v>724</v>
      </c>
      <c r="D81" s="2">
        <v>5134267.2699999986</v>
      </c>
      <c r="E81" s="2">
        <v>4544485.0599999996</v>
      </c>
      <c r="F81" s="2">
        <v>5094984.3699999992</v>
      </c>
      <c r="G81" s="2">
        <v>5040859.38</v>
      </c>
      <c r="H81" s="2">
        <v>5439254.4799999995</v>
      </c>
      <c r="I81" s="2">
        <v>5425232.5700000003</v>
      </c>
      <c r="J81" s="2">
        <v>2092849.8499999996</v>
      </c>
      <c r="K81" s="2">
        <v>32771932.980000004</v>
      </c>
      <c r="L81" s="2"/>
      <c r="M81" t="str">
        <f t="shared" si="5"/>
        <v>insert into business_analytic.report.orenda values(2026, 1, '2021115600', 'Буча,Фора-130 Яблунська,203Б', NULL, 5134267.27, 'TO');</v>
      </c>
      <c r="N81" t="str">
        <f t="shared" si="6"/>
        <v>insert into business_analytic.report.orenda values(2026, 2, '2021115600', 'Буча,Фора-130 Яблунська,203Б', NULL, 4544485.06, 'TO');</v>
      </c>
      <c r="O81" t="str">
        <f t="shared" si="6"/>
        <v>insert into business_analytic.report.orenda values(2026, 3, '2021115600', 'Буча,Фора-130 Яблунська,203Б', NULL, 5094984.37, 'TO');</v>
      </c>
      <c r="P81" t="str">
        <f t="shared" si="7"/>
        <v>insert into business_analytic.report.orenda values(2026, 4, '2021115600', 'Буча,Фора-130 Яблунська,203Б', NULL, 5040859.38, 'TO');</v>
      </c>
      <c r="Q81" t="str">
        <f t="shared" si="8"/>
        <v>insert into business_analytic.report.orenda values(2026, 5, '2021115600', 'Буча,Фора-130 Яблунська,203Б', NULL, 5439254.48, 'TO');</v>
      </c>
    </row>
    <row r="82" spans="1:17" x14ac:dyDescent="0.3">
      <c r="A82" t="s">
        <v>137</v>
      </c>
      <c r="B82" t="s">
        <v>457</v>
      </c>
      <c r="C82" t="s">
        <v>724</v>
      </c>
      <c r="D82" s="2">
        <v>12817757.07</v>
      </c>
      <c r="E82" s="2">
        <v>12563473.229999999</v>
      </c>
      <c r="F82" s="2">
        <v>13937283.919999998</v>
      </c>
      <c r="G82" s="2">
        <v>14094551.979999999</v>
      </c>
      <c r="H82" s="2">
        <v>7545068.459999999</v>
      </c>
      <c r="I82" s="2"/>
      <c r="J82" s="2"/>
      <c r="K82" s="2">
        <v>60958134.659999996</v>
      </c>
      <c r="L82" s="2"/>
      <c r="M82" t="str">
        <f t="shared" si="5"/>
        <v>insert into business_analytic.report.orenda values(2026, 1, '2021115700', 'Київ,Фора-131 Борщагівська,212', NULL, 12817757.07, 'TO');</v>
      </c>
      <c r="N82" t="str">
        <f t="shared" si="6"/>
        <v>insert into business_analytic.report.orenda values(2026, 2, '2021115700', 'Київ,Фора-131 Борщагівська,212', NULL, 12563473.23, 'TO');</v>
      </c>
      <c r="O82" t="str">
        <f t="shared" si="6"/>
        <v>insert into business_analytic.report.orenda values(2026, 3, '2021115700', 'Київ,Фора-131 Борщагівська,212', NULL, 13937283.92, 'TO');</v>
      </c>
      <c r="P82" t="str">
        <f t="shared" si="7"/>
        <v>insert into business_analytic.report.orenda values(2026, 4, '2021115700', 'Київ,Фора-131 Борщагівська,212', NULL, 14094551.98, 'TO');</v>
      </c>
      <c r="Q82" t="str">
        <f t="shared" si="8"/>
        <v>insert into business_analytic.report.orenda values(2026, 5, '2021115700', 'Київ,Фора-131 Борщагівська,212', NULL, 7545068.46, 'TO');</v>
      </c>
    </row>
    <row r="83" spans="1:17" x14ac:dyDescent="0.3">
      <c r="A83" t="s">
        <v>7</v>
      </c>
      <c r="B83" t="s">
        <v>458</v>
      </c>
      <c r="C83" t="s">
        <v>724</v>
      </c>
      <c r="D83" s="2">
        <v>10788456.799999999</v>
      </c>
      <c r="E83" s="2">
        <v>10356204.890000001</v>
      </c>
      <c r="F83" s="2">
        <v>11277155.939999999</v>
      </c>
      <c r="G83" s="2">
        <v>11300925.239999998</v>
      </c>
      <c r="H83" s="2">
        <v>11941078.060000001</v>
      </c>
      <c r="I83" s="2">
        <v>11752136.899999999</v>
      </c>
      <c r="J83" s="2">
        <v>4581527.21</v>
      </c>
      <c r="K83" s="2">
        <v>71997485.040000007</v>
      </c>
      <c r="L83" s="2"/>
      <c r="M83" t="str">
        <f t="shared" si="5"/>
        <v>insert into business_analytic.report.orenda values(2026, 1, '2021115800', 'Узин,Фора-132 Богуна,21А', NULL, 10788456.8, 'TO');</v>
      </c>
      <c r="N83" t="str">
        <f t="shared" si="6"/>
        <v>insert into business_analytic.report.orenda values(2026, 2, '2021115800', 'Узин,Фора-132 Богуна,21А', NULL, 10356204.89, 'TO');</v>
      </c>
      <c r="O83" t="str">
        <f t="shared" si="6"/>
        <v>insert into business_analytic.report.orenda values(2026, 3, '2021115800', 'Узин,Фора-132 Богуна,21А', NULL, 11277155.94, 'TO');</v>
      </c>
      <c r="P83" t="str">
        <f t="shared" si="7"/>
        <v>insert into business_analytic.report.orenda values(2026, 4, '2021115800', 'Узин,Фора-132 Богуна,21А', NULL, 11300925.24, 'TO');</v>
      </c>
      <c r="Q83" t="str">
        <f t="shared" si="8"/>
        <v>insert into business_analytic.report.orenda values(2026, 5, '2021115800', 'Узин,Фора-132 Богуна,21А', NULL, 11941078.06, 'TO');</v>
      </c>
    </row>
    <row r="84" spans="1:17" x14ac:dyDescent="0.3">
      <c r="A84" t="s">
        <v>138</v>
      </c>
      <c r="B84" t="s">
        <v>682</v>
      </c>
      <c r="C84" t="s">
        <v>724</v>
      </c>
      <c r="D84" s="2">
        <v>11194900.43</v>
      </c>
      <c r="E84" s="2">
        <v>9732256.5600000005</v>
      </c>
      <c r="F84" s="2">
        <v>11648229.449999999</v>
      </c>
      <c r="G84" s="2">
        <v>11398770.619999999</v>
      </c>
      <c r="H84" s="2">
        <v>12496061.159999998</v>
      </c>
      <c r="I84" s="2">
        <v>11820913.33</v>
      </c>
      <c r="J84" s="2">
        <v>4263100</v>
      </c>
      <c r="K84" s="2">
        <v>72554231.549999997</v>
      </c>
      <c r="L84" s="2"/>
      <c r="M84" t="str">
        <f t="shared" si="5"/>
        <v>insert into business_analytic.report.orenda values(2026, 1, '2021115900', 'Новосілки,Фора-133 Садова,6А', NULL, 11194900.43, 'TO');</v>
      </c>
      <c r="N84" t="str">
        <f t="shared" si="6"/>
        <v>insert into business_analytic.report.orenda values(2026, 2, '2021115900', 'Новосілки,Фора-133 Садова,6А', NULL, 9732256.56, 'TO');</v>
      </c>
      <c r="O84" t="str">
        <f t="shared" si="6"/>
        <v>insert into business_analytic.report.orenda values(2026, 3, '2021115900', 'Новосілки,Фора-133 Садова,6А', NULL, 11648229.45, 'TO');</v>
      </c>
      <c r="P84" t="str">
        <f t="shared" si="7"/>
        <v>insert into business_analytic.report.orenda values(2026, 4, '2021115900', 'Новосілки,Фора-133 Садова,6А', NULL, 11398770.62, 'TO');</v>
      </c>
      <c r="Q84" t="str">
        <f t="shared" si="8"/>
        <v>insert into business_analytic.report.orenda values(2026, 5, '2021115900', 'Новосілки,Фора-133 Садова,6А', NULL, 12496061.16, 'TO');</v>
      </c>
    </row>
    <row r="85" spans="1:17" x14ac:dyDescent="0.3">
      <c r="A85" t="s">
        <v>308</v>
      </c>
      <c r="B85" t="s">
        <v>987</v>
      </c>
      <c r="C85" t="s">
        <v>988</v>
      </c>
      <c r="D85" s="2">
        <v>4549025.1500000004</v>
      </c>
      <c r="E85" s="2">
        <v>4330189.6199999992</v>
      </c>
      <c r="F85" s="2">
        <v>4917892.3500000006</v>
      </c>
      <c r="G85" s="2">
        <v>5011287.45</v>
      </c>
      <c r="H85" s="2">
        <v>5097900.0799999991</v>
      </c>
      <c r="I85" s="2">
        <v>4934315.3600000003</v>
      </c>
      <c r="J85" s="2">
        <v>1780842.14</v>
      </c>
      <c r="K85" s="2">
        <v>30621452.150000002</v>
      </c>
      <c r="L85" s="2"/>
      <c r="M85" t="str">
        <f t="shared" si="5"/>
        <v>insert into business_analytic.report.orenda values(2026, 1, '2021116000', 'БЦерква,Фора-134 Сквирське Шосе,260А', NULL, 4549025.15, 'TO');</v>
      </c>
      <c r="N85" t="str">
        <f t="shared" si="6"/>
        <v>insert into business_analytic.report.orenda values(2026, 2, '2021116000', 'БЦерква,Фора-134 Сквирське Шосе,260А', NULL, 4330189.62, 'TO');</v>
      </c>
      <c r="O85" t="str">
        <f t="shared" si="6"/>
        <v>insert into business_analytic.report.orenda values(2026, 3, '2021116000', 'БЦерква,Фора-134 Сквирське Шосе,260А', NULL, 4917892.35, 'TO');</v>
      </c>
      <c r="P85" t="str">
        <f t="shared" si="7"/>
        <v>insert into business_analytic.report.orenda values(2026, 4, '2021116000', 'БЦерква,Фора-134 Сквирське Шосе,260А', NULL, 5011287.45, 'TO');</v>
      </c>
      <c r="Q85" t="str">
        <f t="shared" si="8"/>
        <v>insert into business_analytic.report.orenda values(2026, 5, '2021116000', 'БЦерква,Фора-134 Сквирське Шосе,260А', NULL, 5097900.08, 'TO');</v>
      </c>
    </row>
    <row r="86" spans="1:17" x14ac:dyDescent="0.3">
      <c r="A86" t="s">
        <v>139</v>
      </c>
      <c r="B86" t="s">
        <v>663</v>
      </c>
      <c r="C86" t="s">
        <v>724</v>
      </c>
      <c r="D86" s="2">
        <v>10601836</v>
      </c>
      <c r="E86" s="2">
        <v>10211237.479999999</v>
      </c>
      <c r="F86" s="2">
        <v>11020231.579999998</v>
      </c>
      <c r="G86" s="2">
        <v>11270890.619999999</v>
      </c>
      <c r="H86" s="2">
        <v>11255183.27</v>
      </c>
      <c r="I86" s="2">
        <v>10689968.939999999</v>
      </c>
      <c r="J86" s="2">
        <v>3991253.2199999997</v>
      </c>
      <c r="K86" s="2">
        <v>69040601.109999999</v>
      </c>
      <c r="L86" s="2"/>
      <c r="M86" t="str">
        <f t="shared" si="5"/>
        <v>insert into business_analytic.report.orenda values(2026, 1, '2021116100', 'Миронівка,Фора-136 Бузницького,1', NULL, 10601836, 'TO');</v>
      </c>
      <c r="N86" t="str">
        <f t="shared" si="6"/>
        <v>insert into business_analytic.report.orenda values(2026, 2, '2021116100', 'Миронівка,Фора-136 Бузницького,1', NULL, 10211237.48, 'TO');</v>
      </c>
      <c r="O86" t="str">
        <f t="shared" si="6"/>
        <v>insert into business_analytic.report.orenda values(2026, 3, '2021116100', 'Миронівка,Фора-136 Бузницького,1', NULL, 11020231.58, 'TO');</v>
      </c>
      <c r="P86" t="str">
        <f t="shared" si="7"/>
        <v>insert into business_analytic.report.orenda values(2026, 4, '2021116100', 'Миронівка,Фора-136 Бузницького,1', NULL, 11270890.62, 'TO');</v>
      </c>
      <c r="Q86" t="str">
        <f t="shared" si="8"/>
        <v>insert into business_analytic.report.orenda values(2026, 5, '2021116100', 'Миронівка,Фора-136 Бузницького,1', NULL, 11255183.27, 'TO');</v>
      </c>
    </row>
    <row r="87" spans="1:17" x14ac:dyDescent="0.3">
      <c r="A87" t="s">
        <v>140</v>
      </c>
      <c r="B87" t="s">
        <v>459</v>
      </c>
      <c r="C87" t="s">
        <v>729</v>
      </c>
      <c r="D87" s="2">
        <v>6172174.8200000003</v>
      </c>
      <c r="E87" s="2">
        <v>6019087.3499999996</v>
      </c>
      <c r="F87" s="2">
        <v>7048938.7599999998</v>
      </c>
      <c r="G87" s="2">
        <v>7161263.96</v>
      </c>
      <c r="H87" s="2">
        <v>7748105.8899999997</v>
      </c>
      <c r="I87" s="2">
        <v>7333828.629999999</v>
      </c>
      <c r="J87" s="2">
        <v>2537390.7199999997</v>
      </c>
      <c r="K87" s="2">
        <v>44020790.130000003</v>
      </c>
      <c r="L87" s="2"/>
      <c r="M87" t="str">
        <f t="shared" si="5"/>
        <v>insert into business_analytic.report.orenda values(2026, 1, '2021116700', 'Київ,Фора-154 Кустанайська,10', NULL, 6172174.82, 'TO');</v>
      </c>
      <c r="N87" t="str">
        <f t="shared" si="6"/>
        <v>insert into business_analytic.report.orenda values(2026, 2, '2021116700', 'Київ,Фора-154 Кустанайська,10', NULL, 6019087.35, 'TO');</v>
      </c>
      <c r="O87" t="str">
        <f t="shared" si="6"/>
        <v>insert into business_analytic.report.orenda values(2026, 3, '2021116700', 'Київ,Фора-154 Кустанайська,10', NULL, 7048938.76, 'TO');</v>
      </c>
      <c r="P87" t="str">
        <f t="shared" si="7"/>
        <v>insert into business_analytic.report.orenda values(2026, 4, '2021116700', 'Київ,Фора-154 Кустанайська,10', NULL, 7161263.96, 'TO');</v>
      </c>
      <c r="Q87" t="str">
        <f t="shared" si="8"/>
        <v>insert into business_analytic.report.orenda values(2026, 5, '2021116700', 'Київ,Фора-154 Кустанайська,10', NULL, 7748105.89, 'TO');</v>
      </c>
    </row>
    <row r="88" spans="1:17" x14ac:dyDescent="0.3">
      <c r="A88" t="s">
        <v>141</v>
      </c>
      <c r="B88" t="s">
        <v>460</v>
      </c>
      <c r="C88" t="s">
        <v>730</v>
      </c>
      <c r="D88" s="2">
        <v>7856677.8700000001</v>
      </c>
      <c r="E88" s="2">
        <v>7443757.5299999993</v>
      </c>
      <c r="F88" s="2">
        <v>8155357.0899999989</v>
      </c>
      <c r="G88" s="2">
        <v>8462536.8300000001</v>
      </c>
      <c r="H88" s="2">
        <v>8991724.2699999996</v>
      </c>
      <c r="I88" s="2">
        <v>8679544.6399999987</v>
      </c>
      <c r="J88" s="2">
        <v>3330301.98</v>
      </c>
      <c r="K88" s="2">
        <v>52919900.209999993</v>
      </c>
      <c r="L88" s="2"/>
      <c r="M88" t="str">
        <f t="shared" si="5"/>
        <v>insert into business_analytic.report.orenda values(2026, 1, '2021116800', 'Бахмач,Фора-156 Мудрого,24', NULL, 7856677.87, 'TO');</v>
      </c>
      <c r="N88" t="str">
        <f t="shared" si="6"/>
        <v>insert into business_analytic.report.orenda values(2026, 2, '2021116800', 'Бахмач,Фора-156 Мудрого,24', NULL, 7443757.53, 'TO');</v>
      </c>
      <c r="O88" t="str">
        <f t="shared" si="6"/>
        <v>insert into business_analytic.report.orenda values(2026, 3, '2021116800', 'Бахмач,Фора-156 Мудрого,24', NULL, 8155357.09, 'TO');</v>
      </c>
      <c r="P88" t="str">
        <f t="shared" si="7"/>
        <v>insert into business_analytic.report.orenda values(2026, 4, '2021116800', 'Бахмач,Фора-156 Мудрого,24', NULL, 8462536.83, 'TO');</v>
      </c>
      <c r="Q88" t="str">
        <f t="shared" si="8"/>
        <v>insert into business_analytic.report.orenda values(2026, 5, '2021116800', 'Бахмач,Фора-156 Мудрого,24', NULL, 8991724.27, 'TO');</v>
      </c>
    </row>
    <row r="89" spans="1:17" x14ac:dyDescent="0.3">
      <c r="A89" t="s">
        <v>142</v>
      </c>
      <c r="B89" t="s">
        <v>461</v>
      </c>
      <c r="C89" t="s">
        <v>731</v>
      </c>
      <c r="D89" s="2">
        <v>8254456.9199999999</v>
      </c>
      <c r="E89" s="2">
        <v>7890508.9100000001</v>
      </c>
      <c r="F89" s="2">
        <v>8688746.6599999983</v>
      </c>
      <c r="G89" s="2">
        <v>8608369.5600000005</v>
      </c>
      <c r="H89" s="2">
        <v>9057815.8300000001</v>
      </c>
      <c r="I89" s="2">
        <v>8405497.879999999</v>
      </c>
      <c r="J89" s="2">
        <v>3055759.51</v>
      </c>
      <c r="K89" s="2">
        <v>53961155.269999996</v>
      </c>
      <c r="L89" s="2"/>
      <c r="M89" t="str">
        <f t="shared" si="5"/>
        <v>insert into business_analytic.report.orenda values(2026, 1, '2021117000', 'Київ,Фора-158 Бекешкіної,12', NULL, 8254456.92, 'TO');</v>
      </c>
      <c r="N89" t="str">
        <f t="shared" si="6"/>
        <v>insert into business_analytic.report.orenda values(2026, 2, '2021117000', 'Київ,Фора-158 Бекешкіної,12', NULL, 7890508.91, 'TO');</v>
      </c>
      <c r="O89" t="str">
        <f t="shared" si="6"/>
        <v>insert into business_analytic.report.orenda values(2026, 3, '2021117000', 'Київ,Фора-158 Бекешкіної,12', NULL, 8688746.66, 'TO');</v>
      </c>
      <c r="P89" t="str">
        <f t="shared" si="7"/>
        <v>insert into business_analytic.report.orenda values(2026, 4, '2021117000', 'Київ,Фора-158 Бекешкіної,12', NULL, 8608369.56, 'TO');</v>
      </c>
      <c r="Q89" t="str">
        <f t="shared" si="8"/>
        <v>insert into business_analytic.report.orenda values(2026, 5, '2021117000', 'Київ,Фора-158 Бекешкіної,12', NULL, 9057815.83, 'TO');</v>
      </c>
    </row>
    <row r="90" spans="1:17" x14ac:dyDescent="0.3">
      <c r="A90" t="s">
        <v>309</v>
      </c>
      <c r="B90" t="s">
        <v>989</v>
      </c>
      <c r="C90" t="s">
        <v>990</v>
      </c>
      <c r="D90" s="2">
        <v>5587878.1299999999</v>
      </c>
      <c r="E90" s="2"/>
      <c r="F90" s="2"/>
      <c r="G90" s="2">
        <v>6843733.6099999994</v>
      </c>
      <c r="H90" s="2">
        <v>13888619.09</v>
      </c>
      <c r="I90" s="2">
        <v>13041497.050000001</v>
      </c>
      <c r="J90" s="2">
        <v>4739319.55</v>
      </c>
      <c r="K90" s="2">
        <v>44101047.43</v>
      </c>
      <c r="L90" s="2"/>
      <c r="M90" t="str">
        <f t="shared" si="5"/>
        <v>insert into business_analytic.report.orenda values(2026, 1, '2021117200', 'Київ,Фора-164 Гавела Вацлава,83', NULL, 5587878.13, 'TO');</v>
      </c>
      <c r="N90" t="str">
        <f t="shared" si="6"/>
        <v>insert into business_analytic.report.orenda values(2026, 2, '2021117200', 'Київ,Фора-164 Гавела Вацлава,83', NULL, 0, 'TO');</v>
      </c>
      <c r="O90" t="str">
        <f t="shared" si="6"/>
        <v>insert into business_analytic.report.orenda values(2026, 3, '2021117200', 'Київ,Фора-164 Гавела Вацлава,83', NULL, 0, 'TO');</v>
      </c>
      <c r="P90" t="str">
        <f t="shared" si="7"/>
        <v>insert into business_analytic.report.orenda values(2026, 4, '2021117200', 'Київ,Фора-164 Гавела Вацлава,83', NULL, 6843733.61, 'TO');</v>
      </c>
      <c r="Q90" t="str">
        <f t="shared" si="8"/>
        <v>insert into business_analytic.report.orenda values(2026, 5, '2021117200', 'Київ,Фора-164 Гавела Вацлава,83', NULL, 13888619.09, 'TO');</v>
      </c>
    </row>
    <row r="91" spans="1:17" x14ac:dyDescent="0.3">
      <c r="A91" t="s">
        <v>8</v>
      </c>
      <c r="B91" t="s">
        <v>462</v>
      </c>
      <c r="C91" t="s">
        <v>732</v>
      </c>
      <c r="D91" s="2">
        <v>9203753.6799999997</v>
      </c>
      <c r="E91" s="2">
        <v>8751243.7400000002</v>
      </c>
      <c r="F91" s="2">
        <v>9214207.5399999991</v>
      </c>
      <c r="G91" s="2">
        <v>9000341.2200000007</v>
      </c>
      <c r="H91" s="2">
        <v>9538162.3599999994</v>
      </c>
      <c r="I91" s="2">
        <v>9166455.4000000004</v>
      </c>
      <c r="J91" s="2">
        <v>3276411.79</v>
      </c>
      <c r="K91" s="2">
        <v>58150575.729999997</v>
      </c>
      <c r="L91" s="2"/>
      <c r="M91" t="str">
        <f t="shared" si="5"/>
        <v>insert into business_analytic.report.orenda values(2026, 1, '2021117300', 'Київ,Фора-165 Жуля Верна,7', NULL, 9203753.68, 'TO');</v>
      </c>
      <c r="N91" t="str">
        <f t="shared" si="6"/>
        <v>insert into business_analytic.report.orenda values(2026, 2, '2021117300', 'Київ,Фора-165 Жуля Верна,7', NULL, 8751243.74, 'TO');</v>
      </c>
      <c r="O91" t="str">
        <f t="shared" si="6"/>
        <v>insert into business_analytic.report.orenda values(2026, 3, '2021117300', 'Київ,Фора-165 Жуля Верна,7', NULL, 9214207.54, 'TO');</v>
      </c>
      <c r="P91" t="str">
        <f t="shared" si="7"/>
        <v>insert into business_analytic.report.orenda values(2026, 4, '2021117300', 'Київ,Фора-165 Жуля Верна,7', NULL, 9000341.22, 'TO');</v>
      </c>
      <c r="Q91" t="str">
        <f t="shared" si="8"/>
        <v>insert into business_analytic.report.orenda values(2026, 5, '2021117300', 'Київ,Фора-165 Жуля Верна,7', NULL, 9538162.36, 'TO');</v>
      </c>
    </row>
    <row r="92" spans="1:17" x14ac:dyDescent="0.3">
      <c r="A92" t="s">
        <v>143</v>
      </c>
      <c r="B92" t="s">
        <v>686</v>
      </c>
      <c r="C92" t="s">
        <v>733</v>
      </c>
      <c r="D92" s="2">
        <v>21159808.129999999</v>
      </c>
      <c r="E92" s="2">
        <v>20097255.779999994</v>
      </c>
      <c r="F92" s="2">
        <v>23288816.800000001</v>
      </c>
      <c r="G92" s="2">
        <v>24166460.199999999</v>
      </c>
      <c r="H92" s="2">
        <v>26449327.939999998</v>
      </c>
      <c r="I92" s="2">
        <v>25563714.039999999</v>
      </c>
      <c r="J92" s="2">
        <v>9713980.4299999997</v>
      </c>
      <c r="K92" s="2">
        <v>150439363.31999999</v>
      </c>
      <c r="L92" s="2"/>
      <c r="M92" t="str">
        <f t="shared" si="5"/>
        <v>insert into business_analytic.report.orenda values(2026, 1, '2021117500', 'Калинівка,Фора-178 Центральна,78А', NULL, 21159808.13, 'TO');</v>
      </c>
      <c r="N92" t="str">
        <f t="shared" si="6"/>
        <v>insert into business_analytic.report.orenda values(2026, 2, '2021117500', 'Калинівка,Фора-178 Центральна,78А', NULL, 20097255.78, 'TO');</v>
      </c>
      <c r="O92" t="str">
        <f t="shared" si="6"/>
        <v>insert into business_analytic.report.orenda values(2026, 3, '2021117500', 'Калинівка,Фора-178 Центральна,78А', NULL, 23288816.8, 'TO');</v>
      </c>
      <c r="P92" t="str">
        <f t="shared" si="7"/>
        <v>insert into business_analytic.report.orenda values(2026, 4, '2021117500', 'Калинівка,Фора-178 Центральна,78А', NULL, 24166460.2, 'TO');</v>
      </c>
      <c r="Q92" t="str">
        <f t="shared" si="8"/>
        <v>insert into business_analytic.report.orenda values(2026, 5, '2021117500', 'Калинівка,Фора-178 Центральна,78А', NULL, 26449327.94, 'TO');</v>
      </c>
    </row>
    <row r="93" spans="1:17" x14ac:dyDescent="0.3">
      <c r="A93" t="s">
        <v>310</v>
      </c>
      <c r="B93" t="s">
        <v>991</v>
      </c>
      <c r="C93" t="s">
        <v>992</v>
      </c>
      <c r="D93" s="2">
        <v>13898668.659999998</v>
      </c>
      <c r="E93" s="2">
        <v>12560011.51</v>
      </c>
      <c r="F93" s="2">
        <v>14738040.789999999</v>
      </c>
      <c r="G93" s="2">
        <v>15013879.479999999</v>
      </c>
      <c r="H93" s="2">
        <v>16424256.729999999</v>
      </c>
      <c r="I93" s="2">
        <v>16947520.209999997</v>
      </c>
      <c r="J93" s="2">
        <v>6644538.3600000003</v>
      </c>
      <c r="K93" s="2">
        <v>96226915.73999998</v>
      </c>
      <c r="L93" s="2"/>
      <c r="M93" t="str">
        <f t="shared" si="5"/>
        <v>insert into business_analytic.report.orenda values(2026, 1, '2021117600', 'Димер,Фора-181 Бударіна,5', NULL, 13898668.66, 'TO');</v>
      </c>
      <c r="N93" t="str">
        <f t="shared" si="6"/>
        <v>insert into business_analytic.report.orenda values(2026, 2, '2021117600', 'Димер,Фора-181 Бударіна,5', NULL, 12560011.51, 'TO');</v>
      </c>
      <c r="O93" t="str">
        <f t="shared" si="6"/>
        <v>insert into business_analytic.report.orenda values(2026, 3, '2021117600', 'Димер,Фора-181 Бударіна,5', NULL, 14738040.79, 'TO');</v>
      </c>
      <c r="P93" t="str">
        <f t="shared" si="7"/>
        <v>insert into business_analytic.report.orenda values(2026, 4, '2021117600', 'Димер,Фора-181 Бударіна,5', NULL, 15013879.48, 'TO');</v>
      </c>
      <c r="Q93" t="str">
        <f t="shared" si="8"/>
        <v>insert into business_analytic.report.orenda values(2026, 5, '2021117600', 'Димер,Фора-181 Бударіна,5', NULL, 16424256.73, 'TO');</v>
      </c>
    </row>
    <row r="94" spans="1:17" x14ac:dyDescent="0.3">
      <c r="A94" t="s">
        <v>311</v>
      </c>
      <c r="B94" t="s">
        <v>993</v>
      </c>
      <c r="C94" t="s">
        <v>994</v>
      </c>
      <c r="D94" s="2">
        <v>13282136.789999999</v>
      </c>
      <c r="E94" s="2">
        <v>12407958.549999999</v>
      </c>
      <c r="F94" s="2">
        <v>13943087.709999999</v>
      </c>
      <c r="G94" s="2">
        <v>13511390.93</v>
      </c>
      <c r="H94" s="2">
        <v>13982968.98</v>
      </c>
      <c r="I94" s="2">
        <v>13067490.389999999</v>
      </c>
      <c r="J94" s="2">
        <v>4711607.3499999996</v>
      </c>
      <c r="K94" s="2">
        <v>84906640.699999988</v>
      </c>
      <c r="L94" s="2"/>
      <c r="M94" t="str">
        <f t="shared" si="5"/>
        <v>insert into business_analytic.report.orenda values(2026, 1, '2021117800', 'Київ,Фора-183 Бальзака,94', NULL, 13282136.79, 'TO');</v>
      </c>
      <c r="N94" t="str">
        <f t="shared" si="6"/>
        <v>insert into business_analytic.report.orenda values(2026, 2, '2021117800', 'Київ,Фора-183 Бальзака,94', NULL, 12407958.55, 'TO');</v>
      </c>
      <c r="O94" t="str">
        <f t="shared" si="6"/>
        <v>insert into business_analytic.report.orenda values(2026, 3, '2021117800', 'Київ,Фора-183 Бальзака,94', NULL, 13943087.71, 'TO');</v>
      </c>
      <c r="P94" t="str">
        <f t="shared" si="7"/>
        <v>insert into business_analytic.report.orenda values(2026, 4, '2021117800', 'Київ,Фора-183 Бальзака,94', NULL, 13511390.93, 'TO');</v>
      </c>
      <c r="Q94" t="str">
        <f t="shared" si="8"/>
        <v>insert into business_analytic.report.orenda values(2026, 5, '2021117800', 'Київ,Фора-183 Бальзака,94', NULL, 13982968.98, 'TO');</v>
      </c>
    </row>
    <row r="95" spans="1:17" x14ac:dyDescent="0.3">
      <c r="A95" t="s">
        <v>312</v>
      </c>
      <c r="B95" t="s">
        <v>995</v>
      </c>
      <c r="C95" t="s">
        <v>996</v>
      </c>
      <c r="D95" s="2">
        <v>8313247.1799999997</v>
      </c>
      <c r="E95" s="2">
        <v>7572844.3099999996</v>
      </c>
      <c r="F95" s="2">
        <v>8596795.1100000013</v>
      </c>
      <c r="G95" s="2">
        <v>8944889.9600000009</v>
      </c>
      <c r="H95" s="2">
        <v>9883504.4999999981</v>
      </c>
      <c r="I95" s="2">
        <v>9984186.9199999981</v>
      </c>
      <c r="J95" s="2">
        <v>3807595.16</v>
      </c>
      <c r="K95" s="2">
        <v>57103063.140000001</v>
      </c>
      <c r="L95" s="2"/>
      <c r="M95" t="str">
        <f t="shared" si="5"/>
        <v>insert into business_analytic.report.orenda values(2026, 1, '2021117900', 'Березань,Фора-184 Привокзальна,1Б', NULL, 8313247.18, 'TO');</v>
      </c>
      <c r="N95" t="str">
        <f t="shared" si="6"/>
        <v>insert into business_analytic.report.orenda values(2026, 2, '2021117900', 'Березань,Фора-184 Привокзальна,1Б', NULL, 7572844.31, 'TO');</v>
      </c>
      <c r="O95" t="str">
        <f t="shared" si="6"/>
        <v>insert into business_analytic.report.orenda values(2026, 3, '2021117900', 'Березань,Фора-184 Привокзальна,1Б', NULL, 8596795.11, 'TO');</v>
      </c>
      <c r="P95" t="str">
        <f t="shared" si="7"/>
        <v>insert into business_analytic.report.orenda values(2026, 4, '2021117900', 'Березань,Фора-184 Привокзальна,1Б', NULL, 8944889.96, 'TO');</v>
      </c>
      <c r="Q95" t="str">
        <f t="shared" si="8"/>
        <v>insert into business_analytic.report.orenda values(2026, 5, '2021117900', 'Березань,Фора-184 Привокзальна,1Б', NULL, 9883504.5, 'TO');</v>
      </c>
    </row>
    <row r="96" spans="1:17" x14ac:dyDescent="0.3">
      <c r="A96" t="s">
        <v>144</v>
      </c>
      <c r="B96" t="s">
        <v>463</v>
      </c>
      <c r="C96" t="s">
        <v>734</v>
      </c>
      <c r="D96" s="2">
        <v>9628139.3099999987</v>
      </c>
      <c r="E96" s="2">
        <v>8875533.1799999997</v>
      </c>
      <c r="F96" s="2">
        <v>9758446</v>
      </c>
      <c r="G96" s="2">
        <v>10954843.069999998</v>
      </c>
      <c r="H96" s="2">
        <v>10656314.049999999</v>
      </c>
      <c r="I96" s="2">
        <v>10832802.189999998</v>
      </c>
      <c r="J96" s="2">
        <v>4380601.5599999996</v>
      </c>
      <c r="K96" s="2">
        <v>65086679.359999999</v>
      </c>
      <c r="L96" s="2"/>
      <c r="M96" t="str">
        <f t="shared" si="5"/>
        <v>insert into business_analytic.report.orenda values(2026, 1, '2021118000', 'Тетіїв,Фора-185 Соборна,19', NULL, 9628139.31, 'TO');</v>
      </c>
      <c r="N96" t="str">
        <f t="shared" si="6"/>
        <v>insert into business_analytic.report.orenda values(2026, 2, '2021118000', 'Тетіїв,Фора-185 Соборна,19', NULL, 8875533.18, 'TO');</v>
      </c>
      <c r="O96" t="str">
        <f t="shared" si="6"/>
        <v>insert into business_analytic.report.orenda values(2026, 3, '2021118000', 'Тетіїв,Фора-185 Соборна,19', NULL, 9758446, 'TO');</v>
      </c>
      <c r="P96" t="str">
        <f t="shared" si="7"/>
        <v>insert into business_analytic.report.orenda values(2026, 4, '2021118000', 'Тетіїв,Фора-185 Соборна,19', NULL, 10954843.07, 'TO');</v>
      </c>
      <c r="Q96" t="str">
        <f t="shared" si="8"/>
        <v>insert into business_analytic.report.orenda values(2026, 5, '2021118000', 'Тетіїв,Фора-185 Соборна,19', NULL, 10656314.05, 'TO');</v>
      </c>
    </row>
    <row r="97" spans="1:17" x14ac:dyDescent="0.3">
      <c r="A97" t="s">
        <v>313</v>
      </c>
      <c r="B97" t="s">
        <v>997</v>
      </c>
      <c r="C97" t="s">
        <v>742</v>
      </c>
      <c r="D97" s="2">
        <v>14020211.719999999</v>
      </c>
      <c r="E97" s="2">
        <v>13674045.42</v>
      </c>
      <c r="F97" s="2">
        <v>15293578.02</v>
      </c>
      <c r="G97" s="2">
        <v>15308619.610000001</v>
      </c>
      <c r="H97" s="2">
        <v>15751640.9</v>
      </c>
      <c r="I97" s="2">
        <v>15151072.699999999</v>
      </c>
      <c r="J97" s="2">
        <v>5656358.5999999996</v>
      </c>
      <c r="K97" s="2">
        <v>94855526.969999999</v>
      </c>
      <c r="L97" s="2"/>
      <c r="M97" t="str">
        <f t="shared" si="5"/>
        <v>insert into business_analytic.report.orenda values(2026, 1, '2021118100', 'Боярка,Фора-186 Симона Петлюри,2', NULL, 14020211.72, 'TO');</v>
      </c>
      <c r="N97" t="str">
        <f t="shared" si="6"/>
        <v>insert into business_analytic.report.orenda values(2026, 2, '2021118100', 'Боярка,Фора-186 Симона Петлюри,2', NULL, 13674045.42, 'TO');</v>
      </c>
      <c r="O97" t="str">
        <f t="shared" si="6"/>
        <v>insert into business_analytic.report.orenda values(2026, 3, '2021118100', 'Боярка,Фора-186 Симона Петлюри,2', NULL, 15293578.02, 'TO');</v>
      </c>
      <c r="P97" t="str">
        <f t="shared" si="7"/>
        <v>insert into business_analytic.report.orenda values(2026, 4, '2021118100', 'Боярка,Фора-186 Симона Петлюри,2', NULL, 15308619.61, 'TO');</v>
      </c>
      <c r="Q97" t="str">
        <f t="shared" si="8"/>
        <v>insert into business_analytic.report.orenda values(2026, 5, '2021118100', 'Боярка,Фора-186 Симона Петлюри,2', NULL, 15751640.9, 'TO');</v>
      </c>
    </row>
    <row r="98" spans="1:17" x14ac:dyDescent="0.3">
      <c r="A98" t="s">
        <v>145</v>
      </c>
      <c r="B98" t="s">
        <v>656</v>
      </c>
      <c r="C98" t="s">
        <v>735</v>
      </c>
      <c r="D98" s="2">
        <v>15828381.199999999</v>
      </c>
      <c r="E98" s="2">
        <v>15479341.859999999</v>
      </c>
      <c r="F98" s="2">
        <v>17588970.52</v>
      </c>
      <c r="G98" s="2">
        <v>17302034.079999998</v>
      </c>
      <c r="H98" s="2">
        <v>18699030.25</v>
      </c>
      <c r="I98" s="2">
        <v>17245148.68</v>
      </c>
      <c r="J98" s="2">
        <v>6348036.3899999997</v>
      </c>
      <c r="K98" s="2">
        <v>108490942.97999999</v>
      </c>
      <c r="L98" s="2"/>
      <c r="M98" t="str">
        <f t="shared" si="5"/>
        <v>insert into business_analytic.report.orenda values(2026, 1, '2021118200', 'Глеваха,Фора-187 Вокзальна,18А', NULL, 15828381.2, 'TO');</v>
      </c>
      <c r="N98" t="str">
        <f t="shared" si="6"/>
        <v>insert into business_analytic.report.orenda values(2026, 2, '2021118200', 'Глеваха,Фора-187 Вокзальна,18А', NULL, 15479341.86, 'TO');</v>
      </c>
      <c r="O98" t="str">
        <f t="shared" si="6"/>
        <v>insert into business_analytic.report.orenda values(2026, 3, '2021118200', 'Глеваха,Фора-187 Вокзальна,18А', NULL, 17588970.52, 'TO');</v>
      </c>
      <c r="P98" t="str">
        <f t="shared" si="7"/>
        <v>insert into business_analytic.report.orenda values(2026, 4, '2021118200', 'Глеваха,Фора-187 Вокзальна,18А', NULL, 17302034.08, 'TO');</v>
      </c>
      <c r="Q98" t="str">
        <f t="shared" si="8"/>
        <v>insert into business_analytic.report.orenda values(2026, 5, '2021118200', 'Глеваха,Фора-187 Вокзальна,18А', NULL, 18699030.25, 'TO');</v>
      </c>
    </row>
    <row r="99" spans="1:17" x14ac:dyDescent="0.3">
      <c r="A99" t="s">
        <v>314</v>
      </c>
      <c r="B99" t="s">
        <v>998</v>
      </c>
      <c r="C99" t="s">
        <v>999</v>
      </c>
      <c r="D99" s="2">
        <v>10622883.93</v>
      </c>
      <c r="E99" s="2">
        <v>9863225.0299999993</v>
      </c>
      <c r="F99" s="2">
        <v>11465496.279999999</v>
      </c>
      <c r="G99" s="2">
        <v>11356037.579999998</v>
      </c>
      <c r="H99" s="2">
        <v>11966875.77</v>
      </c>
      <c r="I99" s="2">
        <v>11274984.369999999</v>
      </c>
      <c r="J99" s="2">
        <v>4289520.12</v>
      </c>
      <c r="K99" s="2">
        <v>70839023.079999998</v>
      </c>
      <c r="L99" s="2"/>
      <c r="M99" t="str">
        <f t="shared" si="5"/>
        <v>insert into business_analytic.report.orenda values(2026, 1, '2021118300', 'Київ,Фора-188 Гавела Вацлава,45', NULL, 10622883.93, 'TO');</v>
      </c>
      <c r="N99" t="str">
        <f t="shared" si="6"/>
        <v>insert into business_analytic.report.orenda values(2026, 2, '2021118300', 'Київ,Фора-188 Гавела Вацлава,45', NULL, 9863225.03, 'TO');</v>
      </c>
      <c r="O99" t="str">
        <f t="shared" si="6"/>
        <v>insert into business_analytic.report.orenda values(2026, 3, '2021118300', 'Київ,Фора-188 Гавела Вацлава,45', NULL, 11465496.28, 'TO');</v>
      </c>
      <c r="P99" t="str">
        <f t="shared" si="7"/>
        <v>insert into business_analytic.report.orenda values(2026, 4, '2021118300', 'Київ,Фора-188 Гавела Вацлава,45', NULL, 11356037.58, 'TO');</v>
      </c>
      <c r="Q99" t="str">
        <f t="shared" si="8"/>
        <v>insert into business_analytic.report.orenda values(2026, 5, '2021118300', 'Київ,Фора-188 Гавела Вацлава,45', NULL, 11966875.77, 'TO');</v>
      </c>
    </row>
    <row r="100" spans="1:17" x14ac:dyDescent="0.3">
      <c r="A100" t="s">
        <v>315</v>
      </c>
      <c r="B100" t="s">
        <v>1000</v>
      </c>
      <c r="C100" t="s">
        <v>1001</v>
      </c>
      <c r="D100" s="2">
        <v>6129189.0599999996</v>
      </c>
      <c r="E100" s="2">
        <v>5380012.1899999995</v>
      </c>
      <c r="F100" s="2">
        <v>6117401.0099999998</v>
      </c>
      <c r="G100" s="2">
        <v>5969287.2000000002</v>
      </c>
      <c r="H100" s="2">
        <v>6330595.0099999998</v>
      </c>
      <c r="I100" s="2">
        <v>5994519.9299999997</v>
      </c>
      <c r="J100" s="2">
        <v>2188958.9699999997</v>
      </c>
      <c r="K100" s="2">
        <v>38109963.369999997</v>
      </c>
      <c r="L100" s="2"/>
      <c r="M100" t="str">
        <f t="shared" si="5"/>
        <v>insert into business_analytic.report.orenda values(2026, 1, '2021118400', 'Київ,Фора-190 Черчилля,33/10', NULL, 6129189.06, 'TO');</v>
      </c>
      <c r="N100" t="str">
        <f t="shared" si="6"/>
        <v>insert into business_analytic.report.orenda values(2026, 2, '2021118400', 'Київ,Фора-190 Черчилля,33/10', NULL, 5380012.19, 'TO');</v>
      </c>
      <c r="O100" t="str">
        <f t="shared" si="6"/>
        <v>insert into business_analytic.report.orenda values(2026, 3, '2021118400', 'Київ,Фора-190 Черчилля,33/10', NULL, 6117401.01, 'TO');</v>
      </c>
      <c r="P100" t="str">
        <f t="shared" si="7"/>
        <v>insert into business_analytic.report.orenda values(2026, 4, '2021118400', 'Київ,Фора-190 Черчилля,33/10', NULL, 5969287.2, 'TO');</v>
      </c>
      <c r="Q100" t="str">
        <f t="shared" si="8"/>
        <v>insert into business_analytic.report.orenda values(2026, 5, '2021118400', 'Київ,Фора-190 Черчилля,33/10', NULL, 6330595.01, 'TO');</v>
      </c>
    </row>
    <row r="101" spans="1:17" x14ac:dyDescent="0.3">
      <c r="A101" t="s">
        <v>146</v>
      </c>
      <c r="B101" t="s">
        <v>669</v>
      </c>
      <c r="C101" t="s">
        <v>736</v>
      </c>
      <c r="D101" s="2">
        <v>11636893.99</v>
      </c>
      <c r="E101" s="2">
        <v>11094420.07</v>
      </c>
      <c r="F101" s="2">
        <v>13213568.240000002</v>
      </c>
      <c r="G101" s="2">
        <v>12998395.449999999</v>
      </c>
      <c r="H101" s="2">
        <v>14129683.189999999</v>
      </c>
      <c r="I101" s="2">
        <v>13653344.400000002</v>
      </c>
      <c r="J101" s="2">
        <v>5142517.09</v>
      </c>
      <c r="K101" s="2">
        <v>81868822.430000007</v>
      </c>
      <c r="L101" s="2"/>
      <c r="M101" t="str">
        <f t="shared" si="5"/>
        <v>insert into business_analytic.report.orenda values(2026, 1, '2021118500', 'Гостомель,Фора-191 Рекунова,1', NULL, 11636893.99, 'TO');</v>
      </c>
      <c r="N101" t="str">
        <f t="shared" si="6"/>
        <v>insert into business_analytic.report.orenda values(2026, 2, '2021118500', 'Гостомель,Фора-191 Рекунова,1', NULL, 11094420.07, 'TO');</v>
      </c>
      <c r="O101" t="str">
        <f t="shared" si="6"/>
        <v>insert into business_analytic.report.orenda values(2026, 3, '2021118500', 'Гостомель,Фора-191 Рекунова,1', NULL, 13213568.24, 'TO');</v>
      </c>
      <c r="P101" t="str">
        <f t="shared" si="7"/>
        <v>insert into business_analytic.report.orenda values(2026, 4, '2021118500', 'Гостомель,Фора-191 Рекунова,1', NULL, 12998395.45, 'TO');</v>
      </c>
      <c r="Q101" t="str">
        <f t="shared" si="8"/>
        <v>insert into business_analytic.report.orenda values(2026, 5, '2021118500', 'Гостомель,Фора-191 Рекунова,1', NULL, 14129683.19, 'TO');</v>
      </c>
    </row>
    <row r="102" spans="1:17" x14ac:dyDescent="0.3">
      <c r="A102" t="s">
        <v>147</v>
      </c>
      <c r="B102" t="s">
        <v>681</v>
      </c>
      <c r="C102" t="s">
        <v>737</v>
      </c>
      <c r="D102" s="2">
        <v>17453043.82</v>
      </c>
      <c r="E102" s="2">
        <v>15398161.689999999</v>
      </c>
      <c r="F102" s="2">
        <v>19494975.989999998</v>
      </c>
      <c r="G102" s="2">
        <v>18833515.629999999</v>
      </c>
      <c r="H102" s="2">
        <v>19949133.519999996</v>
      </c>
      <c r="I102" s="2">
        <v>18345665.969999999</v>
      </c>
      <c r="J102" s="2">
        <v>6662774.21</v>
      </c>
      <c r="K102" s="2">
        <v>116137270.82999998</v>
      </c>
      <c r="L102" s="2"/>
      <c r="M102" t="str">
        <f t="shared" si="5"/>
        <v>insert into business_analytic.report.orenda values(2026, 1, '2021118600', 'Київ,Фора-192 Закревського,93А', NULL, 17453043.82, 'TO');</v>
      </c>
      <c r="N102" t="str">
        <f t="shared" si="6"/>
        <v>insert into business_analytic.report.orenda values(2026, 2, '2021118600', 'Київ,Фора-192 Закревського,93А', NULL, 15398161.69, 'TO');</v>
      </c>
      <c r="O102" t="str">
        <f t="shared" si="6"/>
        <v>insert into business_analytic.report.orenda values(2026, 3, '2021118600', 'Київ,Фора-192 Закревського,93А', NULL, 19494975.99, 'TO');</v>
      </c>
      <c r="P102" t="str">
        <f t="shared" si="7"/>
        <v>insert into business_analytic.report.orenda values(2026, 4, '2021118600', 'Київ,Фора-192 Закревського,93А', NULL, 18833515.63, 'TO');</v>
      </c>
      <c r="Q102" t="str">
        <f t="shared" si="8"/>
        <v>insert into business_analytic.report.orenda values(2026, 5, '2021118600', 'Київ,Фора-192 Закревського,93А', NULL, 19949133.52, 'TO');</v>
      </c>
    </row>
    <row r="103" spans="1:17" x14ac:dyDescent="0.3">
      <c r="A103" t="s">
        <v>148</v>
      </c>
      <c r="B103" t="s">
        <v>697</v>
      </c>
      <c r="C103" t="s">
        <v>738</v>
      </c>
      <c r="D103" s="2">
        <v>11756432.319999998</v>
      </c>
      <c r="E103" s="2">
        <v>11720638.459999999</v>
      </c>
      <c r="F103" s="2">
        <v>13849204</v>
      </c>
      <c r="G103" s="2">
        <v>12470201.26</v>
      </c>
      <c r="H103" s="2">
        <v>13241949.27</v>
      </c>
      <c r="I103" s="2">
        <v>13464632.93</v>
      </c>
      <c r="J103" s="2">
        <v>4919009.82</v>
      </c>
      <c r="K103" s="2">
        <v>81422068.060000002</v>
      </c>
      <c r="L103" s="2"/>
      <c r="M103" t="str">
        <f t="shared" si="5"/>
        <v>insert into business_analytic.report.orenda values(2026, 1, '2021118700', 'Київ,Фора-193 Гавела Вацлава,54/26', NULL, 11756432.32, 'TO');</v>
      </c>
      <c r="N103" t="str">
        <f t="shared" si="6"/>
        <v>insert into business_analytic.report.orenda values(2026, 2, '2021118700', 'Київ,Фора-193 Гавела Вацлава,54/26', NULL, 11720638.46, 'TO');</v>
      </c>
      <c r="O103" t="str">
        <f t="shared" si="6"/>
        <v>insert into business_analytic.report.orenda values(2026, 3, '2021118700', 'Київ,Фора-193 Гавела Вацлава,54/26', NULL, 13849204, 'TO');</v>
      </c>
      <c r="P103" t="str">
        <f t="shared" si="7"/>
        <v>insert into business_analytic.report.orenda values(2026, 4, '2021118700', 'Київ,Фора-193 Гавела Вацлава,54/26', NULL, 12470201.26, 'TO');</v>
      </c>
      <c r="Q103" t="str">
        <f t="shared" si="8"/>
        <v>insert into business_analytic.report.orenda values(2026, 5, '2021118700', 'Київ,Фора-193 Гавела Вацлава,54/26', NULL, 13241949.27, 'TO');</v>
      </c>
    </row>
    <row r="104" spans="1:17" x14ac:dyDescent="0.3">
      <c r="A104" t="s">
        <v>149</v>
      </c>
      <c r="B104" t="s">
        <v>667</v>
      </c>
      <c r="C104" t="s">
        <v>739</v>
      </c>
      <c r="D104" s="2">
        <v>15298980.809999999</v>
      </c>
      <c r="E104" s="2">
        <v>15314685.25</v>
      </c>
      <c r="F104" s="2">
        <v>18410822.449999999</v>
      </c>
      <c r="G104" s="2">
        <v>18341335.819999997</v>
      </c>
      <c r="H104" s="2">
        <v>19299132.879999999</v>
      </c>
      <c r="I104" s="2">
        <v>18363211.419999998</v>
      </c>
      <c r="J104" s="2">
        <v>6628942.2400000002</v>
      </c>
      <c r="K104" s="2">
        <v>111657110.87</v>
      </c>
      <c r="L104" s="2"/>
      <c r="M104" t="str">
        <f t="shared" si="5"/>
        <v>insert into business_analytic.report.orenda values(2026, 1, '2021118800', 'Київ,Фора-194 Лагерна,46/48', NULL, 15298980.81, 'TO');</v>
      </c>
      <c r="N104" t="str">
        <f t="shared" si="6"/>
        <v>insert into business_analytic.report.orenda values(2026, 2, '2021118800', 'Київ,Фора-194 Лагерна,46/48', NULL, 15314685.25, 'TO');</v>
      </c>
      <c r="O104" t="str">
        <f t="shared" si="6"/>
        <v>insert into business_analytic.report.orenda values(2026, 3, '2021118800', 'Київ,Фора-194 Лагерна,46/48', NULL, 18410822.45, 'TO');</v>
      </c>
      <c r="P104" t="str">
        <f t="shared" si="7"/>
        <v>insert into business_analytic.report.orenda values(2026, 4, '2021118800', 'Київ,Фора-194 Лагерна,46/48', NULL, 18341335.82, 'TO');</v>
      </c>
      <c r="Q104" t="str">
        <f t="shared" si="8"/>
        <v>insert into business_analytic.report.orenda values(2026, 5, '2021118800', 'Київ,Фора-194 Лагерна,46/48', NULL, 19299132.88, 'TO');</v>
      </c>
    </row>
    <row r="105" spans="1:17" x14ac:dyDescent="0.3">
      <c r="A105" t="s">
        <v>150</v>
      </c>
      <c r="B105" t="s">
        <v>670</v>
      </c>
      <c r="C105" t="s">
        <v>740</v>
      </c>
      <c r="D105" s="2">
        <v>16993258.779999997</v>
      </c>
      <c r="E105" s="2">
        <v>15648770.189999999</v>
      </c>
      <c r="F105" s="2">
        <v>17817437.479999997</v>
      </c>
      <c r="G105" s="2">
        <v>17855963.350000001</v>
      </c>
      <c r="H105" s="2">
        <v>19135247.240000002</v>
      </c>
      <c r="I105" s="2">
        <v>18439791.050000001</v>
      </c>
      <c r="J105" s="2">
        <v>6473163.9499999993</v>
      </c>
      <c r="K105" s="2">
        <v>112363632.03999999</v>
      </c>
      <c r="L105" s="2"/>
      <c r="M105" t="str">
        <f t="shared" si="5"/>
        <v>insert into business_analytic.report.orenda values(2026, 1, '2021118900', 'Київ,Фора-195 Науки,24', NULL, 16993258.78, 'TO');</v>
      </c>
      <c r="N105" t="str">
        <f t="shared" si="6"/>
        <v>insert into business_analytic.report.orenda values(2026, 2, '2021118900', 'Київ,Фора-195 Науки,24', NULL, 15648770.19, 'TO');</v>
      </c>
      <c r="O105" t="str">
        <f t="shared" si="6"/>
        <v>insert into business_analytic.report.orenda values(2026, 3, '2021118900', 'Київ,Фора-195 Науки,24', NULL, 17817437.48, 'TO');</v>
      </c>
      <c r="P105" t="str">
        <f t="shared" si="7"/>
        <v>insert into business_analytic.report.orenda values(2026, 4, '2021118900', 'Київ,Фора-195 Науки,24', NULL, 17855963.35, 'TO');</v>
      </c>
      <c r="Q105" t="str">
        <f t="shared" si="8"/>
        <v>insert into business_analytic.report.orenda values(2026, 5, '2021118900', 'Київ,Фора-195 Науки,24', NULL, 19135247.24, 'TO');</v>
      </c>
    </row>
    <row r="106" spans="1:17" x14ac:dyDescent="0.3">
      <c r="A106" t="s">
        <v>151</v>
      </c>
      <c r="B106" t="s">
        <v>464</v>
      </c>
      <c r="C106" t="s">
        <v>741</v>
      </c>
      <c r="D106" s="2">
        <v>8547550.209999999</v>
      </c>
      <c r="E106" s="2">
        <v>8010566.5300000012</v>
      </c>
      <c r="F106" s="2">
        <v>8774032.0399999991</v>
      </c>
      <c r="G106" s="2">
        <v>8624906.7199999988</v>
      </c>
      <c r="H106" s="2">
        <v>9271831.629999999</v>
      </c>
      <c r="I106" s="2">
        <v>9021835.5999999996</v>
      </c>
      <c r="J106" s="2">
        <v>3358810.86</v>
      </c>
      <c r="K106" s="2">
        <v>55609533.589999996</v>
      </c>
      <c r="L106" s="2"/>
      <c r="M106" t="str">
        <f t="shared" si="5"/>
        <v>insert into business_analytic.report.orenda values(2026, 1, '2021119000', 'Бориспіль,Фора-197 Київський шлях,90', NULL, 8547550.21, 'TO');</v>
      </c>
      <c r="N106" t="str">
        <f t="shared" si="6"/>
        <v>insert into business_analytic.report.orenda values(2026, 2, '2021119000', 'Бориспіль,Фора-197 Київський шлях,90', NULL, 8010566.53, 'TO');</v>
      </c>
      <c r="O106" t="str">
        <f t="shared" si="6"/>
        <v>insert into business_analytic.report.orenda values(2026, 3, '2021119000', 'Бориспіль,Фора-197 Київський шлях,90', NULL, 8774032.04, 'TO');</v>
      </c>
      <c r="P106" t="str">
        <f t="shared" si="7"/>
        <v>insert into business_analytic.report.orenda values(2026, 4, '2021119000', 'Бориспіль,Фора-197 Київський шлях,90', NULL, 8624906.72, 'TO');</v>
      </c>
      <c r="Q106" t="str">
        <f t="shared" si="8"/>
        <v>insert into business_analytic.report.orenda values(2026, 5, '2021119000', 'Бориспіль,Фора-197 Київський шлях,90', NULL, 9271831.63, 'TO');</v>
      </c>
    </row>
    <row r="107" spans="1:17" x14ac:dyDescent="0.3">
      <c r="A107" t="s">
        <v>152</v>
      </c>
      <c r="B107" t="s">
        <v>662</v>
      </c>
      <c r="C107" t="s">
        <v>742</v>
      </c>
      <c r="D107" s="2">
        <v>9042992.3000000007</v>
      </c>
      <c r="E107" s="2">
        <v>7918672.2499999991</v>
      </c>
      <c r="F107" s="2">
        <v>9674975.75</v>
      </c>
      <c r="G107" s="2">
        <v>9340226.1699999999</v>
      </c>
      <c r="H107" s="2">
        <v>10371640.299999999</v>
      </c>
      <c r="I107" s="2">
        <v>9500362.5800000001</v>
      </c>
      <c r="J107" s="2">
        <v>3331069.4299999997</v>
      </c>
      <c r="K107" s="2">
        <v>59179938.779999994</v>
      </c>
      <c r="L107" s="2"/>
      <c r="M107" t="str">
        <f t="shared" si="5"/>
        <v>insert into business_analytic.report.orenda values(2026, 1, '2021119100', 'Київ,Фора-198 Кіпріанова,8', NULL, 9042992.3, 'TO');</v>
      </c>
      <c r="N107" t="str">
        <f t="shared" si="6"/>
        <v>insert into business_analytic.report.orenda values(2026, 2, '2021119100', 'Київ,Фора-198 Кіпріанова,8', NULL, 7918672.25, 'TO');</v>
      </c>
      <c r="O107" t="str">
        <f t="shared" si="6"/>
        <v>insert into business_analytic.report.orenda values(2026, 3, '2021119100', 'Київ,Фора-198 Кіпріанова,8', NULL, 9674975.75, 'TO');</v>
      </c>
      <c r="P107" t="str">
        <f t="shared" si="7"/>
        <v>insert into business_analytic.report.orenda values(2026, 4, '2021119100', 'Київ,Фора-198 Кіпріанова,8', NULL, 9340226.17, 'TO');</v>
      </c>
      <c r="Q107" t="str">
        <f t="shared" si="8"/>
        <v>insert into business_analytic.report.orenda values(2026, 5, '2021119100', 'Київ,Фора-198 Кіпріанова,8', NULL, 10371640.3, 'TO');</v>
      </c>
    </row>
    <row r="108" spans="1:17" x14ac:dyDescent="0.3">
      <c r="A108" t="s">
        <v>153</v>
      </c>
      <c r="B108" t="s">
        <v>465</v>
      </c>
      <c r="C108" t="s">
        <v>743</v>
      </c>
      <c r="D108" s="2">
        <v>13329590.050000001</v>
      </c>
      <c r="E108" s="2">
        <v>12714996.619999999</v>
      </c>
      <c r="F108" s="2">
        <v>14902627.41</v>
      </c>
      <c r="G108" s="2">
        <v>14424870.75</v>
      </c>
      <c r="H108" s="2">
        <v>14677472.569999998</v>
      </c>
      <c r="I108" s="2">
        <v>13925490.859999999</v>
      </c>
      <c r="J108" s="2">
        <v>4908642.91</v>
      </c>
      <c r="K108" s="2">
        <v>88883691.170000002</v>
      </c>
      <c r="L108" s="2"/>
      <c r="M108" t="str">
        <f t="shared" si="5"/>
        <v>insert into business_analytic.report.orenda values(2026, 1, '2021119200', 'Київ,Фора-199 Миропільська,11', NULL, 13329590.05, 'TO');</v>
      </c>
      <c r="N108" t="str">
        <f t="shared" si="6"/>
        <v>insert into business_analytic.report.orenda values(2026, 2, '2021119200', 'Київ,Фора-199 Миропільська,11', NULL, 12714996.62, 'TO');</v>
      </c>
      <c r="O108" t="str">
        <f t="shared" si="6"/>
        <v>insert into business_analytic.report.orenda values(2026, 3, '2021119200', 'Київ,Фора-199 Миропільська,11', NULL, 14902627.41, 'TO');</v>
      </c>
      <c r="P108" t="str">
        <f t="shared" si="7"/>
        <v>insert into business_analytic.report.orenda values(2026, 4, '2021119200', 'Київ,Фора-199 Миропільська,11', NULL, 14424870.75, 'TO');</v>
      </c>
      <c r="Q108" t="str">
        <f t="shared" si="8"/>
        <v>insert into business_analytic.report.orenda values(2026, 5, '2021119200', 'Київ,Фора-199 Миропільська,11', NULL, 14677472.57, 'TO');</v>
      </c>
    </row>
    <row r="109" spans="1:17" x14ac:dyDescent="0.3">
      <c r="A109" t="s">
        <v>154</v>
      </c>
      <c r="B109" t="s">
        <v>466</v>
      </c>
      <c r="C109" t="s">
        <v>744</v>
      </c>
      <c r="D109" s="2">
        <v>2959158.48</v>
      </c>
      <c r="E109" s="2">
        <v>2810288.5</v>
      </c>
      <c r="F109" s="2">
        <v>3121204.12</v>
      </c>
      <c r="G109" s="2">
        <v>3173968.3</v>
      </c>
      <c r="H109" s="2">
        <v>3294767.7800000003</v>
      </c>
      <c r="I109" s="2">
        <v>3221145.61</v>
      </c>
      <c r="J109" s="2">
        <v>1206725.48</v>
      </c>
      <c r="K109" s="2">
        <v>19787258.270000003</v>
      </c>
      <c r="L109" s="2"/>
      <c r="M109" t="str">
        <f t="shared" si="5"/>
        <v>insert into business_analytic.report.orenda values(2026, 1, '2021119400', 'БЦерква,Фора-202 Павліченко,63', NULL, 2959158.48, 'TO');</v>
      </c>
      <c r="N109" t="str">
        <f t="shared" si="6"/>
        <v>insert into business_analytic.report.orenda values(2026, 2, '2021119400', 'БЦерква,Фора-202 Павліченко,63', NULL, 2810288.5, 'TO');</v>
      </c>
      <c r="O109" t="str">
        <f t="shared" si="6"/>
        <v>insert into business_analytic.report.orenda values(2026, 3, '2021119400', 'БЦерква,Фора-202 Павліченко,63', NULL, 3121204.12, 'TO');</v>
      </c>
      <c r="P109" t="str">
        <f t="shared" si="7"/>
        <v>insert into business_analytic.report.orenda values(2026, 4, '2021119400', 'БЦерква,Фора-202 Павліченко,63', NULL, 3173968.3, 'TO');</v>
      </c>
      <c r="Q109" t="str">
        <f t="shared" si="8"/>
        <v>insert into business_analytic.report.orenda values(2026, 5, '2021119400', 'БЦерква,Фора-202 Павліченко,63', NULL, 3294767.78, 'TO');</v>
      </c>
    </row>
    <row r="110" spans="1:17" x14ac:dyDescent="0.3">
      <c r="A110" t="s">
        <v>155</v>
      </c>
      <c r="B110" t="s">
        <v>652</v>
      </c>
      <c r="C110" t="s">
        <v>745</v>
      </c>
      <c r="D110" s="2">
        <v>12506312.889999999</v>
      </c>
      <c r="E110" s="2">
        <v>11922704.93</v>
      </c>
      <c r="F110" s="2">
        <v>12988914.199999999</v>
      </c>
      <c r="G110" s="2">
        <v>12869917.139999997</v>
      </c>
      <c r="H110" s="2">
        <v>13625033.76</v>
      </c>
      <c r="I110" s="2">
        <v>12895162.829999998</v>
      </c>
      <c r="J110" s="2">
        <v>4654187.6899999995</v>
      </c>
      <c r="K110" s="2">
        <v>81462233.439999998</v>
      </c>
      <c r="L110" s="2"/>
      <c r="M110" t="str">
        <f t="shared" si="5"/>
        <v>insert into business_analytic.report.orenda values(2026, 1, '2021120000', 'Бровари,Фора-208 Грушевського,17', NULL, 12506312.89, 'TO');</v>
      </c>
      <c r="N110" t="str">
        <f t="shared" si="6"/>
        <v>insert into business_analytic.report.orenda values(2026, 2, '2021120000', 'Бровари,Фора-208 Грушевського,17', NULL, 11922704.93, 'TO');</v>
      </c>
      <c r="O110" t="str">
        <f t="shared" si="6"/>
        <v>insert into business_analytic.report.orenda values(2026, 3, '2021120000', 'Бровари,Фора-208 Грушевського,17', NULL, 12988914.2, 'TO');</v>
      </c>
      <c r="P110" t="str">
        <f t="shared" si="7"/>
        <v>insert into business_analytic.report.orenda values(2026, 4, '2021120000', 'Бровари,Фора-208 Грушевського,17', NULL, 12869917.14, 'TO');</v>
      </c>
      <c r="Q110" t="str">
        <f t="shared" si="8"/>
        <v>insert into business_analytic.report.orenda values(2026, 5, '2021120000', 'Бровари,Фора-208 Грушевського,17', NULL, 13625033.76, 'TO');</v>
      </c>
    </row>
    <row r="111" spans="1:17" x14ac:dyDescent="0.3">
      <c r="A111" t="s">
        <v>156</v>
      </c>
      <c r="B111" t="s">
        <v>677</v>
      </c>
      <c r="C111" t="s">
        <v>746</v>
      </c>
      <c r="D111" s="2">
        <v>16859025.879999999</v>
      </c>
      <c r="E111" s="2">
        <v>16132404.839999998</v>
      </c>
      <c r="F111" s="2">
        <v>17674613.350000001</v>
      </c>
      <c r="G111" s="2">
        <v>18345123.98</v>
      </c>
      <c r="H111" s="2">
        <v>20433753.550000001</v>
      </c>
      <c r="I111" s="2">
        <v>20532896.419999998</v>
      </c>
      <c r="J111" s="2">
        <v>8089195.0199999996</v>
      </c>
      <c r="K111" s="2">
        <v>118067013.03999999</v>
      </c>
      <c r="L111" s="2"/>
      <c r="M111" t="str">
        <f t="shared" si="5"/>
        <v>insert into business_analytic.report.orenda values(2026, 1, '2021120100', 'Борова,Фора-209 Миру,15', NULL, 16859025.88, 'TO');</v>
      </c>
      <c r="N111" t="str">
        <f t="shared" si="6"/>
        <v>insert into business_analytic.report.orenda values(2026, 2, '2021120100', 'Борова,Фора-209 Миру,15', NULL, 16132404.84, 'TO');</v>
      </c>
      <c r="O111" t="str">
        <f t="shared" si="6"/>
        <v>insert into business_analytic.report.orenda values(2026, 3, '2021120100', 'Борова,Фора-209 Миру,15', NULL, 17674613.35, 'TO');</v>
      </c>
      <c r="P111" t="str">
        <f t="shared" si="7"/>
        <v>insert into business_analytic.report.orenda values(2026, 4, '2021120100', 'Борова,Фора-209 Миру,15', NULL, 18345123.98, 'TO');</v>
      </c>
      <c r="Q111" t="str">
        <f t="shared" si="8"/>
        <v>insert into business_analytic.report.orenda values(2026, 5, '2021120100', 'Борова,Фора-209 Миру,15', NULL, 20433753.55, 'TO');</v>
      </c>
    </row>
    <row r="112" spans="1:17" x14ac:dyDescent="0.3">
      <c r="A112" t="s">
        <v>157</v>
      </c>
      <c r="B112" t="s">
        <v>467</v>
      </c>
      <c r="C112" t="s">
        <v>747</v>
      </c>
      <c r="D112" s="2">
        <v>7923052.8999999994</v>
      </c>
      <c r="E112" s="2">
        <v>7549628.9299999997</v>
      </c>
      <c r="F112" s="2">
        <v>8389403.0899999999</v>
      </c>
      <c r="G112" s="2">
        <v>8163865.1999999993</v>
      </c>
      <c r="H112" s="2">
        <v>8742620.3499999996</v>
      </c>
      <c r="I112" s="2">
        <v>8041986.8099999996</v>
      </c>
      <c r="J112" s="2">
        <v>2925605.35</v>
      </c>
      <c r="K112" s="2">
        <v>51736162.629999995</v>
      </c>
      <c r="L112" s="2"/>
      <c r="M112" t="str">
        <f t="shared" si="5"/>
        <v>insert into business_analytic.report.orenda values(2026, 1, '2021120200', 'Київ,Фора-210 Ревуцького,26', NULL, 7923052.9, 'TO');</v>
      </c>
      <c r="N112" t="str">
        <f t="shared" si="6"/>
        <v>insert into business_analytic.report.orenda values(2026, 2, '2021120200', 'Київ,Фора-210 Ревуцького,26', NULL, 7549628.93, 'TO');</v>
      </c>
      <c r="O112" t="str">
        <f t="shared" si="6"/>
        <v>insert into business_analytic.report.orenda values(2026, 3, '2021120200', 'Київ,Фора-210 Ревуцького,26', NULL, 8389403.09, 'TO');</v>
      </c>
      <c r="P112" t="str">
        <f t="shared" si="7"/>
        <v>insert into business_analytic.report.orenda values(2026, 4, '2021120200', 'Київ,Фора-210 Ревуцького,26', NULL, 8163865.2, 'TO');</v>
      </c>
      <c r="Q112" t="str">
        <f t="shared" si="8"/>
        <v>insert into business_analytic.report.orenda values(2026, 5, '2021120200', 'Київ,Фора-210 Ревуцького,26', NULL, 8742620.35, 'TO');</v>
      </c>
    </row>
    <row r="113" spans="1:17" x14ac:dyDescent="0.3">
      <c r="A113" t="s">
        <v>158</v>
      </c>
      <c r="B113" t="s">
        <v>468</v>
      </c>
      <c r="C113" t="s">
        <v>748</v>
      </c>
      <c r="D113" s="2">
        <v>7121919.0499999998</v>
      </c>
      <c r="E113" s="2">
        <v>6950817.3599999994</v>
      </c>
      <c r="F113" s="2">
        <v>7541520.7999999998</v>
      </c>
      <c r="G113" s="2">
        <v>7392255.8699999992</v>
      </c>
      <c r="H113" s="2">
        <v>7650322.96</v>
      </c>
      <c r="I113" s="2">
        <v>6953978.3699999992</v>
      </c>
      <c r="J113" s="2">
        <v>2541657.4899999998</v>
      </c>
      <c r="K113" s="2">
        <v>46152471.900000006</v>
      </c>
      <c r="L113" s="2"/>
      <c r="M113" t="str">
        <f t="shared" si="5"/>
        <v>insert into business_analytic.report.orenda values(2026, 1, '2021120300', 'Київ,Фора-211 Драгоманова,19', NULL, 7121919.05, 'TO');</v>
      </c>
      <c r="N113" t="str">
        <f t="shared" si="6"/>
        <v>insert into business_analytic.report.orenda values(2026, 2, '2021120300', 'Київ,Фора-211 Драгоманова,19', NULL, 6950817.36, 'TO');</v>
      </c>
      <c r="O113" t="str">
        <f t="shared" si="6"/>
        <v>insert into business_analytic.report.orenda values(2026, 3, '2021120300', 'Київ,Фора-211 Драгоманова,19', NULL, 7541520.8, 'TO');</v>
      </c>
      <c r="P113" t="str">
        <f t="shared" si="7"/>
        <v>insert into business_analytic.report.orenda values(2026, 4, '2021120300', 'Київ,Фора-211 Драгоманова,19', NULL, 7392255.87, 'TO');</v>
      </c>
      <c r="Q113" t="str">
        <f t="shared" si="8"/>
        <v>insert into business_analytic.report.orenda values(2026, 5, '2021120300', 'Київ,Фора-211 Драгоманова,19', NULL, 7650322.96, 'TO');</v>
      </c>
    </row>
    <row r="114" spans="1:17" x14ac:dyDescent="0.3">
      <c r="A114" t="s">
        <v>316</v>
      </c>
      <c r="B114" t="s">
        <v>1002</v>
      </c>
      <c r="C114" t="s">
        <v>1003</v>
      </c>
      <c r="D114" s="2">
        <v>4208448.9899999993</v>
      </c>
      <c r="E114" s="2">
        <v>2319572.63</v>
      </c>
      <c r="F114" s="2">
        <v>3779624.25</v>
      </c>
      <c r="G114" s="2">
        <v>3933580.28</v>
      </c>
      <c r="H114" s="2">
        <v>4399365.5999999996</v>
      </c>
      <c r="I114" s="2">
        <v>4448809.8099999996</v>
      </c>
      <c r="J114" s="2">
        <v>1728633.3499999999</v>
      </c>
      <c r="K114" s="2">
        <v>24818034.91</v>
      </c>
      <c r="L114" s="2"/>
      <c r="M114" t="str">
        <f t="shared" si="5"/>
        <v>insert into business_analytic.report.orenda values(2026, 1, '2021120400', 'Вишневе,Фора-212 Чорновола,46Б', NULL, 4208448.99, 'TO');</v>
      </c>
      <c r="N114" t="str">
        <f t="shared" si="6"/>
        <v>insert into business_analytic.report.orenda values(2026, 2, '2021120400', 'Вишневе,Фора-212 Чорновола,46Б', NULL, 2319572.63, 'TO');</v>
      </c>
      <c r="O114" t="str">
        <f t="shared" si="6"/>
        <v>insert into business_analytic.report.orenda values(2026, 3, '2021120400', 'Вишневе,Фора-212 Чорновола,46Б', NULL, 3779624.25, 'TO');</v>
      </c>
      <c r="P114" t="str">
        <f t="shared" si="7"/>
        <v>insert into business_analytic.report.orenda values(2026, 4, '2021120400', 'Вишневе,Фора-212 Чорновола,46Б', NULL, 3933580.28, 'TO');</v>
      </c>
      <c r="Q114" t="str">
        <f t="shared" si="8"/>
        <v>insert into business_analytic.report.orenda values(2026, 5, '2021120400', 'Вишневе,Фора-212 Чорновола,46Б', NULL, 4399365.6, 'TO');</v>
      </c>
    </row>
    <row r="115" spans="1:17" x14ac:dyDescent="0.3">
      <c r="A115" t="s">
        <v>317</v>
      </c>
      <c r="B115" t="s">
        <v>1004</v>
      </c>
      <c r="C115" t="s">
        <v>1005</v>
      </c>
      <c r="D115" s="2">
        <v>11381808.989999998</v>
      </c>
      <c r="E115" s="2">
        <v>10760456.939999999</v>
      </c>
      <c r="F115" s="2">
        <v>11434544.42</v>
      </c>
      <c r="G115" s="2">
        <v>11153339.259999998</v>
      </c>
      <c r="H115" s="2">
        <v>11776826.65</v>
      </c>
      <c r="I115" s="2">
        <v>11006389.119999999</v>
      </c>
      <c r="J115" s="2">
        <v>4117428.2499999995</v>
      </c>
      <c r="K115" s="2">
        <v>71630793.629999995</v>
      </c>
      <c r="L115" s="2"/>
      <c r="M115" t="str">
        <f t="shared" si="5"/>
        <v>insert into business_analytic.report.orenda values(2026, 1, '2021120500', 'Київ,Фора-215 Корольова,8', NULL, 11381808.99, 'TO');</v>
      </c>
      <c r="N115" t="str">
        <f t="shared" si="6"/>
        <v>insert into business_analytic.report.orenda values(2026, 2, '2021120500', 'Київ,Фора-215 Корольова,8', NULL, 10760456.94, 'TO');</v>
      </c>
      <c r="O115" t="str">
        <f t="shared" si="6"/>
        <v>insert into business_analytic.report.orenda values(2026, 3, '2021120500', 'Київ,Фора-215 Корольова,8', NULL, 11434544.42, 'TO');</v>
      </c>
      <c r="P115" t="str">
        <f t="shared" si="7"/>
        <v>insert into business_analytic.report.orenda values(2026, 4, '2021120500', 'Київ,Фора-215 Корольова,8', NULL, 11153339.26, 'TO');</v>
      </c>
      <c r="Q115" t="str">
        <f t="shared" si="8"/>
        <v>insert into business_analytic.report.orenda values(2026, 5, '2021120500', 'Київ,Фора-215 Корольова,8', NULL, 11776826.65, 'TO');</v>
      </c>
    </row>
    <row r="116" spans="1:17" x14ac:dyDescent="0.3">
      <c r="A116" t="s">
        <v>318</v>
      </c>
      <c r="B116" t="s">
        <v>1006</v>
      </c>
      <c r="C116" t="s">
        <v>1007</v>
      </c>
      <c r="D116" s="2">
        <v>10706316.089999998</v>
      </c>
      <c r="E116" s="2">
        <v>8260804.9100000001</v>
      </c>
      <c r="F116" s="2">
        <v>10135187.710000001</v>
      </c>
      <c r="G116" s="2">
        <v>10140488.189999999</v>
      </c>
      <c r="H116" s="2">
        <v>10140065.199999999</v>
      </c>
      <c r="I116" s="2">
        <v>9519491.3900000006</v>
      </c>
      <c r="J116" s="2">
        <v>3527377.96</v>
      </c>
      <c r="K116" s="2">
        <v>62429731.449999996</v>
      </c>
      <c r="L116" s="2"/>
      <c r="M116" t="str">
        <f t="shared" si="5"/>
        <v>insert into business_analytic.report.orenda values(2026, 1, '2021120600', 'СофБорщагівка,Фора-216 Українки,19', NULL, 10706316.09, 'TO');</v>
      </c>
      <c r="N116" t="str">
        <f t="shared" si="6"/>
        <v>insert into business_analytic.report.orenda values(2026, 2, '2021120600', 'СофБорщагівка,Фора-216 Українки,19', NULL, 8260804.91, 'TO');</v>
      </c>
      <c r="O116" t="str">
        <f t="shared" si="6"/>
        <v>insert into business_analytic.report.orenda values(2026, 3, '2021120600', 'СофБорщагівка,Фора-216 Українки,19', NULL, 10135187.71, 'TO');</v>
      </c>
      <c r="P116" t="str">
        <f t="shared" si="7"/>
        <v>insert into business_analytic.report.orenda values(2026, 4, '2021120600', 'СофБорщагівка,Фора-216 Українки,19', NULL, 10140488.19, 'TO');</v>
      </c>
      <c r="Q116" t="str">
        <f t="shared" si="8"/>
        <v>insert into business_analytic.report.orenda values(2026, 5, '2021120600', 'СофБорщагівка,Фора-216 Українки,19', NULL, 10140065.2, 'TO');</v>
      </c>
    </row>
    <row r="117" spans="1:17" x14ac:dyDescent="0.3">
      <c r="A117" t="s">
        <v>9</v>
      </c>
      <c r="B117" t="s">
        <v>469</v>
      </c>
      <c r="C117" t="s">
        <v>749</v>
      </c>
      <c r="D117" s="2">
        <v>13433792.43</v>
      </c>
      <c r="E117" s="2">
        <v>12673288.530000001</v>
      </c>
      <c r="F117" s="2">
        <v>12490263.289999999</v>
      </c>
      <c r="G117" s="2">
        <v>10416972.24</v>
      </c>
      <c r="H117" s="2">
        <v>10678840.269999998</v>
      </c>
      <c r="I117" s="2">
        <v>9479407.9299999997</v>
      </c>
      <c r="J117" s="2">
        <v>3404906.76</v>
      </c>
      <c r="K117" s="2">
        <v>72577471.449999988</v>
      </c>
      <c r="L117" s="2"/>
      <c r="M117" t="str">
        <f t="shared" si="5"/>
        <v>insert into business_analytic.report.orenda values(2026, 1, '2021120700', 'Київ,Фора-217 Світлицького,26Б', NULL, 13433792.43, 'TO');</v>
      </c>
      <c r="N117" t="str">
        <f t="shared" si="6"/>
        <v>insert into business_analytic.report.orenda values(2026, 2, '2021120700', 'Київ,Фора-217 Світлицького,26Б', NULL, 12673288.53, 'TO');</v>
      </c>
      <c r="O117" t="str">
        <f t="shared" si="6"/>
        <v>insert into business_analytic.report.orenda values(2026, 3, '2021120700', 'Київ,Фора-217 Світлицького,26Б', NULL, 12490263.29, 'TO');</v>
      </c>
      <c r="P117" t="str">
        <f t="shared" si="7"/>
        <v>insert into business_analytic.report.orenda values(2026, 4, '2021120700', 'Київ,Фора-217 Світлицького,26Б', NULL, 10416972.24, 'TO');</v>
      </c>
      <c r="Q117" t="str">
        <f t="shared" si="8"/>
        <v>insert into business_analytic.report.orenda values(2026, 5, '2021120700', 'Київ,Фора-217 Світлицького,26Б', NULL, 10678840.27, 'TO');</v>
      </c>
    </row>
    <row r="118" spans="1:17" x14ac:dyDescent="0.3">
      <c r="A118" t="s">
        <v>159</v>
      </c>
      <c r="B118" t="s">
        <v>470</v>
      </c>
      <c r="C118" t="s">
        <v>750</v>
      </c>
      <c r="D118" s="2">
        <v>6788382.2299999986</v>
      </c>
      <c r="E118" s="2">
        <v>6090921.0699999994</v>
      </c>
      <c r="F118" s="2">
        <v>7120213.1199999992</v>
      </c>
      <c r="G118" s="2">
        <v>7297035.0999999996</v>
      </c>
      <c r="H118" s="2">
        <v>7834298</v>
      </c>
      <c r="I118" s="2">
        <v>7441019.4499999993</v>
      </c>
      <c r="J118" s="2">
        <v>2713856.1</v>
      </c>
      <c r="K118" s="2">
        <v>45285725.07</v>
      </c>
      <c r="L118" s="2"/>
      <c r="M118" t="str">
        <f t="shared" si="5"/>
        <v>insert into business_analytic.report.orenda values(2026, 1, '2021120800', 'Київ,Фора-218 Тампере,12', NULL, 6788382.23, 'TO');</v>
      </c>
      <c r="N118" t="str">
        <f t="shared" si="6"/>
        <v>insert into business_analytic.report.orenda values(2026, 2, '2021120800', 'Київ,Фора-218 Тампере,12', NULL, 6090921.07, 'TO');</v>
      </c>
      <c r="O118" t="str">
        <f t="shared" si="6"/>
        <v>insert into business_analytic.report.orenda values(2026, 3, '2021120800', 'Київ,Фора-218 Тампере,12', NULL, 7120213.12, 'TO');</v>
      </c>
      <c r="P118" t="str">
        <f t="shared" si="7"/>
        <v>insert into business_analytic.report.orenda values(2026, 4, '2021120800', 'Київ,Фора-218 Тампере,12', NULL, 7297035.1, 'TO');</v>
      </c>
      <c r="Q118" t="str">
        <f t="shared" si="8"/>
        <v>insert into business_analytic.report.orenda values(2026, 5, '2021120800', 'Київ,Фора-218 Тампере,12', NULL, 7834298, 'TO');</v>
      </c>
    </row>
    <row r="119" spans="1:17" x14ac:dyDescent="0.3">
      <c r="A119" t="s">
        <v>319</v>
      </c>
      <c r="B119" t="s">
        <v>1008</v>
      </c>
      <c r="C119" t="s">
        <v>1009</v>
      </c>
      <c r="D119" s="2">
        <v>15130110.09</v>
      </c>
      <c r="E119" s="2">
        <v>14568899.879999999</v>
      </c>
      <c r="F119" s="2">
        <v>16556086.84</v>
      </c>
      <c r="G119" s="2">
        <v>15899262.229999999</v>
      </c>
      <c r="H119" s="2">
        <v>16347773.039999999</v>
      </c>
      <c r="I119" s="2">
        <v>15723056.119999999</v>
      </c>
      <c r="J119" s="2">
        <v>5913451.0099999998</v>
      </c>
      <c r="K119" s="2">
        <v>100138639.20999999</v>
      </c>
      <c r="L119" s="2"/>
      <c r="M119" t="str">
        <f t="shared" si="5"/>
        <v>insert into business_analytic.report.orenda values(2026, 1, '2021120900', 'Святопетрів,Фора-219 Володимирська,2Г', NULL, 15130110.09, 'TO');</v>
      </c>
      <c r="N119" t="str">
        <f t="shared" si="6"/>
        <v>insert into business_analytic.report.orenda values(2026, 2, '2021120900', 'Святопетрів,Фора-219 Володимирська,2Г', NULL, 14568899.88, 'TO');</v>
      </c>
      <c r="O119" t="str">
        <f t="shared" si="6"/>
        <v>insert into business_analytic.report.orenda values(2026, 3, '2021120900', 'Святопетрів,Фора-219 Володимирська,2Г', NULL, 16556086.84, 'TO');</v>
      </c>
      <c r="P119" t="str">
        <f t="shared" si="7"/>
        <v>insert into business_analytic.report.orenda values(2026, 4, '2021120900', 'Святопетрів,Фора-219 Володимирська,2Г', NULL, 15899262.23, 'TO');</v>
      </c>
      <c r="Q119" t="str">
        <f t="shared" si="8"/>
        <v>insert into business_analytic.report.orenda values(2026, 5, '2021120900', 'Святопетрів,Фора-219 Володимирська,2Г', NULL, 16347773.04, 'TO');</v>
      </c>
    </row>
    <row r="120" spans="1:17" x14ac:dyDescent="0.3">
      <c r="A120" t="s">
        <v>160</v>
      </c>
      <c r="B120" t="s">
        <v>666</v>
      </c>
      <c r="C120" t="s">
        <v>751</v>
      </c>
      <c r="D120" s="2">
        <v>9728722.3599999994</v>
      </c>
      <c r="E120" s="2">
        <v>9106004.5899999999</v>
      </c>
      <c r="F120" s="2">
        <v>11763035.769999998</v>
      </c>
      <c r="G120" s="2">
        <v>12231286.560000001</v>
      </c>
      <c r="H120" s="2">
        <v>14451461.809999999</v>
      </c>
      <c r="I120" s="2">
        <v>14854630.42</v>
      </c>
      <c r="J120" s="2">
        <v>5734625.9399999995</v>
      </c>
      <c r="K120" s="2">
        <v>77869767.450000003</v>
      </c>
      <c r="L120" s="2"/>
      <c r="M120" t="str">
        <f t="shared" si="5"/>
        <v>insert into business_analytic.report.orenda values(2026, 1, '2021121000', 'Гнідин,Фора-220 Олександрівська,22', NULL, 9728722.36, 'TO');</v>
      </c>
      <c r="N120" t="str">
        <f t="shared" si="6"/>
        <v>insert into business_analytic.report.orenda values(2026, 2, '2021121000', 'Гнідин,Фора-220 Олександрівська,22', NULL, 9106004.59, 'TO');</v>
      </c>
      <c r="O120" t="str">
        <f t="shared" si="6"/>
        <v>insert into business_analytic.report.orenda values(2026, 3, '2021121000', 'Гнідин,Фора-220 Олександрівська,22', NULL, 11763035.77, 'TO');</v>
      </c>
      <c r="P120" t="str">
        <f t="shared" si="7"/>
        <v>insert into business_analytic.report.orenda values(2026, 4, '2021121000', 'Гнідин,Фора-220 Олександрівська,22', NULL, 12231286.56, 'TO');</v>
      </c>
      <c r="Q120" t="str">
        <f t="shared" si="8"/>
        <v>insert into business_analytic.report.orenda values(2026, 5, '2021121000', 'Гнідин,Фора-220 Олександрівська,22', NULL, 14451461.81, 'TO');</v>
      </c>
    </row>
    <row r="121" spans="1:17" x14ac:dyDescent="0.3">
      <c r="A121" t="s">
        <v>161</v>
      </c>
      <c r="B121" t="s">
        <v>694</v>
      </c>
      <c r="C121" t="s">
        <v>752</v>
      </c>
      <c r="D121" s="2">
        <v>9609814</v>
      </c>
      <c r="E121" s="2">
        <v>9288373.7200000007</v>
      </c>
      <c r="F121" s="2">
        <v>10358702.439999999</v>
      </c>
      <c r="G121" s="2">
        <v>9842605.9299999997</v>
      </c>
      <c r="H121" s="2">
        <v>10786878.879999999</v>
      </c>
      <c r="I121" s="2">
        <v>10109436.509999998</v>
      </c>
      <c r="J121" s="2">
        <v>3597690.4299999997</v>
      </c>
      <c r="K121" s="2">
        <v>63593501.909999996</v>
      </c>
      <c r="L121" s="2"/>
      <c r="M121" t="str">
        <f t="shared" si="5"/>
        <v>insert into business_analytic.report.orenda values(2026, 1, '2021121100', 'Київ,Фора-221 Хмельницького,39/2', NULL, 9609814, 'TO');</v>
      </c>
      <c r="N121" t="str">
        <f t="shared" si="6"/>
        <v>insert into business_analytic.report.orenda values(2026, 2, '2021121100', 'Київ,Фора-221 Хмельницького,39/2', NULL, 9288373.72, 'TO');</v>
      </c>
      <c r="O121" t="str">
        <f t="shared" si="6"/>
        <v>insert into business_analytic.report.orenda values(2026, 3, '2021121100', 'Київ,Фора-221 Хмельницького,39/2', NULL, 10358702.44, 'TO');</v>
      </c>
      <c r="P121" t="str">
        <f t="shared" si="7"/>
        <v>insert into business_analytic.report.orenda values(2026, 4, '2021121100', 'Київ,Фора-221 Хмельницького,39/2', NULL, 9842605.93, 'TO');</v>
      </c>
      <c r="Q121" t="str">
        <f t="shared" si="8"/>
        <v>insert into business_analytic.report.orenda values(2026, 5, '2021121100', 'Київ,Фора-221 Хмельницького,39/2', NULL, 10786878.88, 'TO');</v>
      </c>
    </row>
    <row r="122" spans="1:17" x14ac:dyDescent="0.3">
      <c r="A122" t="s">
        <v>162</v>
      </c>
      <c r="B122" t="s">
        <v>471</v>
      </c>
      <c r="C122" t="s">
        <v>753</v>
      </c>
      <c r="D122" s="2">
        <v>8481666.3199999984</v>
      </c>
      <c r="E122" s="2">
        <v>8446836.4399999995</v>
      </c>
      <c r="F122" s="2">
        <v>9439660.6999999993</v>
      </c>
      <c r="G122" s="2">
        <v>8870471.1499999985</v>
      </c>
      <c r="H122" s="2">
        <v>9607944.6199999992</v>
      </c>
      <c r="I122" s="2">
        <v>8930150.4700000007</v>
      </c>
      <c r="J122" s="2">
        <v>3294160.9699999997</v>
      </c>
      <c r="K122" s="2">
        <v>57070890.670000002</v>
      </c>
      <c r="L122" s="2"/>
      <c r="M122" t="str">
        <f t="shared" si="5"/>
        <v>insert into business_analytic.report.orenda values(2026, 1, '2021121300', 'Бровари,Фора-223 Шевченка,10В', NULL, 8481666.32, 'TO');</v>
      </c>
      <c r="N122" t="str">
        <f t="shared" si="6"/>
        <v>insert into business_analytic.report.orenda values(2026, 2, '2021121300', 'Бровари,Фора-223 Шевченка,10В', NULL, 8446836.44, 'TO');</v>
      </c>
      <c r="O122" t="str">
        <f t="shared" si="6"/>
        <v>insert into business_analytic.report.orenda values(2026, 3, '2021121300', 'Бровари,Фора-223 Шевченка,10В', NULL, 9439660.7, 'TO');</v>
      </c>
      <c r="P122" t="str">
        <f t="shared" si="7"/>
        <v>insert into business_analytic.report.orenda values(2026, 4, '2021121300', 'Бровари,Фора-223 Шевченка,10В', NULL, 8870471.15, 'TO');</v>
      </c>
      <c r="Q122" t="str">
        <f t="shared" si="8"/>
        <v>insert into business_analytic.report.orenda values(2026, 5, '2021121300', 'Бровари,Фора-223 Шевченка,10В', NULL, 9607944.62, 'TO');</v>
      </c>
    </row>
    <row r="123" spans="1:17" x14ac:dyDescent="0.3">
      <c r="A123" t="s">
        <v>10</v>
      </c>
      <c r="B123" t="s">
        <v>678</v>
      </c>
      <c r="C123" t="s">
        <v>754</v>
      </c>
      <c r="D123" s="2">
        <v>11578970.73</v>
      </c>
      <c r="E123" s="2">
        <v>11283445.049999999</v>
      </c>
      <c r="F123" s="2">
        <v>12286101.26</v>
      </c>
      <c r="G123" s="2">
        <v>12470159.5</v>
      </c>
      <c r="H123" s="2">
        <v>13388702.43</v>
      </c>
      <c r="I123" s="2">
        <v>13288225.069999998</v>
      </c>
      <c r="J123" s="2">
        <v>4894990.97</v>
      </c>
      <c r="K123" s="2">
        <v>79190595.009999976</v>
      </c>
      <c r="L123" s="2"/>
      <c r="M123" t="str">
        <f t="shared" si="5"/>
        <v>insert into business_analytic.report.orenda values(2026, 1, '2021121500', 'Київ,Фора-225 Новопирогівська,31', NULL, 11578970.73, 'TO');</v>
      </c>
      <c r="N123" t="str">
        <f t="shared" si="6"/>
        <v>insert into business_analytic.report.orenda values(2026, 2, '2021121500', 'Київ,Фора-225 Новопирогівська,31', NULL, 11283445.05, 'TO');</v>
      </c>
      <c r="O123" t="str">
        <f t="shared" si="6"/>
        <v>insert into business_analytic.report.orenda values(2026, 3, '2021121500', 'Київ,Фора-225 Новопирогівська,31', NULL, 12286101.26, 'TO');</v>
      </c>
      <c r="P123" t="str">
        <f t="shared" si="7"/>
        <v>insert into business_analytic.report.orenda values(2026, 4, '2021121500', 'Київ,Фора-225 Новопирогівська,31', NULL, 12470159.5, 'TO');</v>
      </c>
      <c r="Q123" t="str">
        <f t="shared" si="8"/>
        <v>insert into business_analytic.report.orenda values(2026, 5, '2021121500', 'Київ,Фора-225 Новопирогівська,31', NULL, 13388702.43, 'TO');</v>
      </c>
    </row>
    <row r="124" spans="1:17" x14ac:dyDescent="0.3">
      <c r="A124" t="s">
        <v>320</v>
      </c>
      <c r="B124" t="s">
        <v>1010</v>
      </c>
      <c r="C124" t="s">
        <v>1011</v>
      </c>
      <c r="D124" s="2">
        <v>14394318.140000001</v>
      </c>
      <c r="E124" s="2">
        <v>13763360.27</v>
      </c>
      <c r="F124" s="2">
        <v>14616557.24</v>
      </c>
      <c r="G124" s="2">
        <v>14792062.300000001</v>
      </c>
      <c r="H124" s="2">
        <v>15618226.289999999</v>
      </c>
      <c r="I124" s="2">
        <v>14784589.959999997</v>
      </c>
      <c r="J124" s="2">
        <v>5559243.1500000004</v>
      </c>
      <c r="K124" s="2">
        <v>93528357.349999994</v>
      </c>
      <c r="L124" s="2"/>
      <c r="M124" t="str">
        <f t="shared" si="5"/>
        <v>insert into business_analytic.report.orenda values(2026, 1, '2021121600', 'Бориспіль,Фора-226 Момота,42/5', NULL, 14394318.14, 'TO');</v>
      </c>
      <c r="N124" t="str">
        <f t="shared" si="6"/>
        <v>insert into business_analytic.report.orenda values(2026, 2, '2021121600', 'Бориспіль,Фора-226 Момота,42/5', NULL, 13763360.27, 'TO');</v>
      </c>
      <c r="O124" t="str">
        <f t="shared" si="6"/>
        <v>insert into business_analytic.report.orenda values(2026, 3, '2021121600', 'Бориспіль,Фора-226 Момота,42/5', NULL, 14616557.24, 'TO');</v>
      </c>
      <c r="P124" t="str">
        <f t="shared" si="7"/>
        <v>insert into business_analytic.report.orenda values(2026, 4, '2021121600', 'Бориспіль,Фора-226 Момота,42/5', NULL, 14792062.3, 'TO');</v>
      </c>
      <c r="Q124" t="str">
        <f t="shared" si="8"/>
        <v>insert into business_analytic.report.orenda values(2026, 5, '2021121600', 'Бориспіль,Фора-226 Момота,42/5', NULL, 15618226.29, 'TO');</v>
      </c>
    </row>
    <row r="125" spans="1:17" x14ac:dyDescent="0.3">
      <c r="A125" t="s">
        <v>163</v>
      </c>
      <c r="B125" t="s">
        <v>472</v>
      </c>
      <c r="C125" t="s">
        <v>755</v>
      </c>
      <c r="D125" s="2">
        <v>9192066.4299999978</v>
      </c>
      <c r="E125" s="2">
        <v>8955202.8999999985</v>
      </c>
      <c r="F125" s="2">
        <v>4449719.6900000004</v>
      </c>
      <c r="G125" s="2"/>
      <c r="H125" s="2"/>
      <c r="I125" s="2"/>
      <c r="J125" s="2"/>
      <c r="K125" s="2">
        <v>22596989.02</v>
      </c>
      <c r="L125" s="2"/>
      <c r="M125" t="str">
        <f t="shared" si="5"/>
        <v>insert into business_analytic.report.orenda values(2026, 1, '2021121900', 'Ржищів,Фора-231 Соборна,23', NULL, 9192066.43, 'TO');</v>
      </c>
      <c r="N125" t="str">
        <f t="shared" si="6"/>
        <v>insert into business_analytic.report.orenda values(2026, 2, '2021121900', 'Ржищів,Фора-231 Соборна,23', NULL, 8955202.9, 'TO');</v>
      </c>
      <c r="O125" t="str">
        <f t="shared" si="6"/>
        <v>insert into business_analytic.report.orenda values(2026, 3, '2021121900', 'Ржищів,Фора-231 Соборна,23', NULL, 4449719.69, 'TO');</v>
      </c>
      <c r="P125" t="str">
        <f t="shared" si="7"/>
        <v>insert into business_analytic.report.orenda values(2026, 4, '2021121900', 'Ржищів,Фора-231 Соборна,23', NULL, 0, 'TO');</v>
      </c>
      <c r="Q125" t="str">
        <f t="shared" si="8"/>
        <v>insert into business_analytic.report.orenda values(2026, 5, '2021121900', 'Ржищів,Фора-231 Соборна,23', NULL, 0, 'TO');</v>
      </c>
    </row>
    <row r="126" spans="1:17" x14ac:dyDescent="0.3">
      <c r="A126" t="s">
        <v>321</v>
      </c>
      <c r="B126" t="s">
        <v>1012</v>
      </c>
      <c r="C126" t="s">
        <v>750</v>
      </c>
      <c r="D126" s="2">
        <v>3980639.05</v>
      </c>
      <c r="E126" s="2">
        <v>3606004.45</v>
      </c>
      <c r="F126" s="2">
        <v>4010870.8000000003</v>
      </c>
      <c r="G126" s="2">
        <v>3935937.55</v>
      </c>
      <c r="H126" s="2">
        <v>4245831.01</v>
      </c>
      <c r="I126" s="2">
        <v>3925819.02</v>
      </c>
      <c r="J126" s="2">
        <v>1451801.5899999999</v>
      </c>
      <c r="K126" s="2">
        <v>25156903.469999999</v>
      </c>
      <c r="L126" s="2"/>
      <c r="M126" t="str">
        <f t="shared" si="5"/>
        <v>insert into business_analytic.report.orenda values(2026, 1, '2021122000', 'Київ,Фора-232 Будівельників,8', NULL, 3980639.05, 'TO');</v>
      </c>
      <c r="N126" t="str">
        <f t="shared" si="6"/>
        <v>insert into business_analytic.report.orenda values(2026, 2, '2021122000', 'Київ,Фора-232 Будівельників,8', NULL, 3606004.45, 'TO');</v>
      </c>
      <c r="O126" t="str">
        <f t="shared" si="6"/>
        <v>insert into business_analytic.report.orenda values(2026, 3, '2021122000', 'Київ,Фора-232 Будівельників,8', NULL, 4010870.8, 'TO');</v>
      </c>
      <c r="P126" t="str">
        <f t="shared" si="7"/>
        <v>insert into business_analytic.report.orenda values(2026, 4, '2021122000', 'Київ,Фора-232 Будівельників,8', NULL, 3935937.55, 'TO');</v>
      </c>
      <c r="Q126" t="str">
        <f t="shared" si="8"/>
        <v>insert into business_analytic.report.orenda values(2026, 5, '2021122000', 'Київ,Фора-232 Будівельників,8', NULL, 4245831.01, 'TO');</v>
      </c>
    </row>
    <row r="127" spans="1:17" x14ac:dyDescent="0.3">
      <c r="A127" t="s">
        <v>322</v>
      </c>
      <c r="B127" t="s">
        <v>1013</v>
      </c>
      <c r="C127" t="s">
        <v>1014</v>
      </c>
      <c r="D127" s="2">
        <v>7771848.1299999999</v>
      </c>
      <c r="E127" s="2">
        <v>7217814.9899999993</v>
      </c>
      <c r="F127" s="2">
        <v>8353412.0599999987</v>
      </c>
      <c r="G127" s="2">
        <v>8611112.4799999986</v>
      </c>
      <c r="H127" s="2">
        <v>9327531.7699999996</v>
      </c>
      <c r="I127" s="2">
        <v>9263519.3499999996</v>
      </c>
      <c r="J127" s="2">
        <v>3557863.59</v>
      </c>
      <c r="K127" s="2">
        <v>54103102.369999997</v>
      </c>
      <c r="L127" s="2"/>
      <c r="M127" t="str">
        <f t="shared" si="5"/>
        <v>insert into business_analytic.report.orenda values(2026, 1, '2021122100', 'Яготин,Фора-233 Незалежності,130', NULL, 7771848.13, 'TO');</v>
      </c>
      <c r="N127" t="str">
        <f t="shared" si="6"/>
        <v>insert into business_analytic.report.orenda values(2026, 2, '2021122100', 'Яготин,Фора-233 Незалежності,130', NULL, 7217814.99, 'TO');</v>
      </c>
      <c r="O127" t="str">
        <f t="shared" si="6"/>
        <v>insert into business_analytic.report.orenda values(2026, 3, '2021122100', 'Яготин,Фора-233 Незалежності,130', NULL, 8353412.06, 'TO');</v>
      </c>
      <c r="P127" t="str">
        <f t="shared" si="7"/>
        <v>insert into business_analytic.report.orenda values(2026, 4, '2021122100', 'Яготин,Фора-233 Незалежності,130', NULL, 8611112.48, 'TO');</v>
      </c>
      <c r="Q127" t="str">
        <f t="shared" si="8"/>
        <v>insert into business_analytic.report.orenda values(2026, 5, '2021122100', 'Яготин,Фора-233 Незалежності,130', NULL, 9327531.77, 'TO');</v>
      </c>
    </row>
    <row r="128" spans="1:17" x14ac:dyDescent="0.3">
      <c r="A128" t="s">
        <v>164</v>
      </c>
      <c r="B128" t="s">
        <v>660</v>
      </c>
      <c r="C128" t="s">
        <v>756</v>
      </c>
      <c r="D128" s="2">
        <v>7862257.6399999997</v>
      </c>
      <c r="E128" s="2">
        <v>7290629.4800000004</v>
      </c>
      <c r="F128" s="2">
        <v>8167742.2800000003</v>
      </c>
      <c r="G128" s="2">
        <v>8082938.6199999992</v>
      </c>
      <c r="H128" s="2">
        <v>8489681.5899999999</v>
      </c>
      <c r="I128" s="2">
        <v>8035054.4300000006</v>
      </c>
      <c r="J128" s="2">
        <v>2871730.77</v>
      </c>
      <c r="K128" s="2">
        <v>50800034.810000002</v>
      </c>
      <c r="L128" s="2"/>
      <c r="M128" t="str">
        <f t="shared" si="5"/>
        <v>insert into business_analytic.report.orenda values(2026, 1, '2021122200', 'Київ,Фора-234 Ентузіастів,37', NULL, 7862257.64, 'TO');</v>
      </c>
      <c r="N128" t="str">
        <f t="shared" si="6"/>
        <v>insert into business_analytic.report.orenda values(2026, 2, '2021122200', 'Київ,Фора-234 Ентузіастів,37', NULL, 7290629.48, 'TO');</v>
      </c>
      <c r="O128" t="str">
        <f t="shared" si="6"/>
        <v>insert into business_analytic.report.orenda values(2026, 3, '2021122200', 'Київ,Фора-234 Ентузіастів,37', NULL, 8167742.28, 'TO');</v>
      </c>
      <c r="P128" t="str">
        <f t="shared" si="7"/>
        <v>insert into business_analytic.report.orenda values(2026, 4, '2021122200', 'Київ,Фора-234 Ентузіастів,37', NULL, 8082938.62, 'TO');</v>
      </c>
      <c r="Q128" t="str">
        <f t="shared" si="8"/>
        <v>insert into business_analytic.report.orenda values(2026, 5, '2021122200', 'Київ,Фора-234 Ентузіастів,37', NULL, 8489681.59, 'TO');</v>
      </c>
    </row>
    <row r="129" spans="1:17" x14ac:dyDescent="0.3">
      <c r="A129" t="s">
        <v>165</v>
      </c>
      <c r="B129" t="s">
        <v>473</v>
      </c>
      <c r="C129" t="s">
        <v>757</v>
      </c>
      <c r="D129" s="2">
        <v>8391205.0700000003</v>
      </c>
      <c r="E129" s="2">
        <v>7830833.9699999988</v>
      </c>
      <c r="F129" s="2">
        <v>9348755.8199999984</v>
      </c>
      <c r="G129" s="2">
        <v>9187474.0499999989</v>
      </c>
      <c r="H129" s="2">
        <v>9850978.2999999989</v>
      </c>
      <c r="I129" s="2">
        <v>9464364.8899999987</v>
      </c>
      <c r="J129" s="2">
        <v>3538639.07</v>
      </c>
      <c r="K129" s="2">
        <v>57612251.169999987</v>
      </c>
      <c r="L129" s="2"/>
      <c r="M129" t="str">
        <f t="shared" si="5"/>
        <v>insert into business_analytic.report.orenda values(2026, 1, '2021122300', 'Київ,Фора-236 Закревського,87', NULL, 8391205.07, 'TO');</v>
      </c>
      <c r="N129" t="str">
        <f t="shared" si="6"/>
        <v>insert into business_analytic.report.orenda values(2026, 2, '2021122300', 'Київ,Фора-236 Закревського,87', NULL, 7830833.97, 'TO');</v>
      </c>
      <c r="O129" t="str">
        <f t="shared" si="6"/>
        <v>insert into business_analytic.report.orenda values(2026, 3, '2021122300', 'Київ,Фора-236 Закревського,87', NULL, 9348755.82, 'TO');</v>
      </c>
      <c r="P129" t="str">
        <f t="shared" si="7"/>
        <v>insert into business_analytic.report.orenda values(2026, 4, '2021122300', 'Київ,Фора-236 Закревського,87', NULL, 9187474.05, 'TO');</v>
      </c>
      <c r="Q129" t="str">
        <f t="shared" si="8"/>
        <v>insert into business_analytic.report.orenda values(2026, 5, '2021122300', 'Київ,Фора-236 Закревського,87', NULL, 9850978.3, 'TO');</v>
      </c>
    </row>
    <row r="130" spans="1:17" x14ac:dyDescent="0.3">
      <c r="A130" t="s">
        <v>323</v>
      </c>
      <c r="B130" t="s">
        <v>1015</v>
      </c>
      <c r="C130" t="s">
        <v>1016</v>
      </c>
      <c r="D130" s="2">
        <v>9053998.6600000001</v>
      </c>
      <c r="E130" s="2">
        <v>8560563.1799999997</v>
      </c>
      <c r="F130" s="2">
        <v>9754262.3899999987</v>
      </c>
      <c r="G130" s="2">
        <v>9655565.9499999993</v>
      </c>
      <c r="H130" s="2">
        <v>10792112.549999999</v>
      </c>
      <c r="I130" s="2">
        <v>10246827.559999999</v>
      </c>
      <c r="J130" s="2">
        <v>3867832.77</v>
      </c>
      <c r="K130" s="2">
        <v>61931163.060000002</v>
      </c>
      <c r="L130" s="2"/>
      <c r="M130" t="str">
        <f t="shared" si="5"/>
        <v>insert into business_analytic.report.orenda values(2026, 1, '2021122500', 'Гостомель,Фора-238 Свято-Покровська,73В', NULL, 9053998.66, 'TO');</v>
      </c>
      <c r="N130" t="str">
        <f t="shared" si="6"/>
        <v>insert into business_analytic.report.orenda values(2026, 2, '2021122500', 'Гостомель,Фора-238 Свято-Покровська,73В', NULL, 8560563.18, 'TO');</v>
      </c>
      <c r="O130" t="str">
        <f t="shared" si="6"/>
        <v>insert into business_analytic.report.orenda values(2026, 3, '2021122500', 'Гостомель,Фора-238 Свято-Покровська,73В', NULL, 9754262.39, 'TO');</v>
      </c>
      <c r="P130" t="str">
        <f t="shared" si="7"/>
        <v>insert into business_analytic.report.orenda values(2026, 4, '2021122500', 'Гостомель,Фора-238 Свято-Покровська,73В', NULL, 9655565.95, 'TO');</v>
      </c>
      <c r="Q130" t="str">
        <f t="shared" si="8"/>
        <v>insert into business_analytic.report.orenda values(2026, 5, '2021122500', 'Гостомель,Фора-238 Свято-Покровська,73В', NULL, 10792112.55, 'TO');</v>
      </c>
    </row>
    <row r="131" spans="1:17" x14ac:dyDescent="0.3">
      <c r="A131" t="s">
        <v>11</v>
      </c>
      <c r="B131" t="s">
        <v>474</v>
      </c>
      <c r="C131" t="s">
        <v>758</v>
      </c>
      <c r="D131" s="2">
        <v>7744997.1999999993</v>
      </c>
      <c r="E131" s="2">
        <v>7252331.6799999997</v>
      </c>
      <c r="F131" s="2">
        <v>8698722.2599999998</v>
      </c>
      <c r="G131" s="2">
        <v>5562488.7599999998</v>
      </c>
      <c r="H131" s="2"/>
      <c r="I131" s="2">
        <v>2293425.02</v>
      </c>
      <c r="J131" s="2">
        <v>3661576.15</v>
      </c>
      <c r="K131" s="2">
        <v>35213541.069999993</v>
      </c>
      <c r="L131" s="2"/>
      <c r="M131" t="str">
        <f t="shared" si="5"/>
        <v>insert into business_analytic.report.orenda values(2026, 1, '2021122600', 'Козин,Фора-240 Солов'яненка,60', NULL, 7744997.2, 'TO');</v>
      </c>
      <c r="N131" t="str">
        <f t="shared" si="6"/>
        <v>insert into business_analytic.report.orenda values(2026, 2, '2021122600', 'Козин,Фора-240 Солов'яненка,60', NULL, 7252331.68, 'TO');</v>
      </c>
      <c r="O131" t="str">
        <f t="shared" si="6"/>
        <v>insert into business_analytic.report.orenda values(2026, 3, '2021122600', 'Козин,Фора-240 Солов'яненка,60', NULL, 8698722.26, 'TO');</v>
      </c>
      <c r="P131" t="str">
        <f t="shared" si="7"/>
        <v>insert into business_analytic.report.orenda values(2026, 4, '2021122600', 'Козин,Фора-240 Солов'яненка,60', NULL, 5562488.76, 'TO');</v>
      </c>
      <c r="Q131" t="str">
        <f t="shared" si="8"/>
        <v>insert into business_analytic.report.orenda values(2026, 5, '2021122600', 'Козин,Фора-240 Солов'яненка,60', NULL, 0, 'TO');</v>
      </c>
    </row>
    <row r="132" spans="1:17" x14ac:dyDescent="0.3">
      <c r="A132" t="s">
        <v>166</v>
      </c>
      <c r="B132" t="s">
        <v>475</v>
      </c>
      <c r="C132" t="s">
        <v>759</v>
      </c>
      <c r="D132" s="2">
        <v>7300667.3999999994</v>
      </c>
      <c r="E132" s="2">
        <v>7167599.1799999997</v>
      </c>
      <c r="F132" s="2">
        <v>7734799.5300000003</v>
      </c>
      <c r="G132" s="2">
        <v>7613480.5999999996</v>
      </c>
      <c r="H132" s="2">
        <v>8013002.379999999</v>
      </c>
      <c r="I132" s="2">
        <v>7420653.6000000006</v>
      </c>
      <c r="J132" s="2">
        <v>2779526.3699999996</v>
      </c>
      <c r="K132" s="2">
        <v>48029729.060000002</v>
      </c>
      <c r="L132" s="2"/>
      <c r="M132" t="str">
        <f t="shared" si="5"/>
        <v>insert into business_analytic.report.orenda values(2026, 1, '2021122700', 'Київ,Фора-243 Печенізька,1/7А', NULL, 7300667.4, 'TO');</v>
      </c>
      <c r="N132" t="str">
        <f t="shared" si="6"/>
        <v>insert into business_analytic.report.orenda values(2026, 2, '2021122700', 'Київ,Фора-243 Печенізька,1/7А', NULL, 7167599.18, 'TO');</v>
      </c>
      <c r="O132" t="str">
        <f t="shared" si="6"/>
        <v>insert into business_analytic.report.orenda values(2026, 3, '2021122700', 'Київ,Фора-243 Печенізька,1/7А', NULL, 7734799.53, 'TO');</v>
      </c>
      <c r="P132" t="str">
        <f t="shared" si="7"/>
        <v>insert into business_analytic.report.orenda values(2026, 4, '2021122700', 'Київ,Фора-243 Печенізька,1/7А', NULL, 7613480.6, 'TO');</v>
      </c>
      <c r="Q132" t="str">
        <f t="shared" si="8"/>
        <v>insert into business_analytic.report.orenda values(2026, 5, '2021122700', 'Київ,Фора-243 Печенізька,1/7А', NULL, 8013002.38, 'TO');</v>
      </c>
    </row>
    <row r="133" spans="1:17" x14ac:dyDescent="0.3">
      <c r="A133" t="s">
        <v>167</v>
      </c>
      <c r="B133" t="s">
        <v>476</v>
      </c>
      <c r="C133" t="s">
        <v>760</v>
      </c>
      <c r="D133" s="2">
        <v>4736242.28</v>
      </c>
      <c r="E133" s="2">
        <v>4460515.3899999997</v>
      </c>
      <c r="F133" s="2">
        <v>5206909.2</v>
      </c>
      <c r="G133" s="2">
        <v>5234799.25</v>
      </c>
      <c r="H133" s="2">
        <v>5572438.1100000003</v>
      </c>
      <c r="I133" s="2">
        <v>5576084.5599999996</v>
      </c>
      <c r="J133" s="2">
        <v>2076546.8499999999</v>
      </c>
      <c r="K133" s="2">
        <v>32863535.640000001</v>
      </c>
      <c r="L133" s="2"/>
      <c r="M133" t="str">
        <f t="shared" si="5"/>
        <v>insert into business_analytic.report.orenda values(2026, 1, '2021122800', 'Київ,Фора-244 Гетьмана,34', NULL, 4736242.28, 'TO');</v>
      </c>
      <c r="N133" t="str">
        <f t="shared" si="6"/>
        <v>insert into business_analytic.report.orenda values(2026, 2, '2021122800', 'Київ,Фора-244 Гетьмана,34', NULL, 4460515.39, 'TO');</v>
      </c>
      <c r="O133" t="str">
        <f t="shared" si="6"/>
        <v>insert into business_analytic.report.orenda values(2026, 3, '2021122800', 'Київ,Фора-244 Гетьмана,34', NULL, 5206909.2, 'TO');</v>
      </c>
      <c r="P133" t="str">
        <f t="shared" si="7"/>
        <v>insert into business_analytic.report.orenda values(2026, 4, '2021122800', 'Київ,Фора-244 Гетьмана,34', NULL, 5234799.25, 'TO');</v>
      </c>
      <c r="Q133" t="str">
        <f t="shared" si="8"/>
        <v>insert into business_analytic.report.orenda values(2026, 5, '2021122800', 'Київ,Фора-244 Гетьмана,34', NULL, 5572438.11, 'TO');</v>
      </c>
    </row>
    <row r="134" spans="1:17" x14ac:dyDescent="0.3">
      <c r="A134" t="s">
        <v>168</v>
      </c>
      <c r="B134" t="s">
        <v>477</v>
      </c>
      <c r="C134" t="s">
        <v>761</v>
      </c>
      <c r="D134" s="2">
        <v>13075248.949999999</v>
      </c>
      <c r="E134" s="2">
        <v>11896505.979999999</v>
      </c>
      <c r="F134" s="2">
        <v>17571819.829999998</v>
      </c>
      <c r="G134" s="2">
        <v>17754459.93</v>
      </c>
      <c r="H134" s="2">
        <v>19397243.300000001</v>
      </c>
      <c r="I134" s="2">
        <v>17038471.52</v>
      </c>
      <c r="J134" s="2">
        <v>5577625.6199999992</v>
      </c>
      <c r="K134" s="2">
        <v>102311375.13</v>
      </c>
      <c r="L134" s="2"/>
      <c r="M134" t="str">
        <f t="shared" si="5"/>
        <v>insert into business_analytic.report.orenda values(2026, 1, '2021122900', 'Київ,Фора-245 Борщагівська,128', NULL, 13075248.95, 'TO');</v>
      </c>
      <c r="N134" t="str">
        <f t="shared" si="6"/>
        <v>insert into business_analytic.report.orenda values(2026, 2, '2021122900', 'Київ,Фора-245 Борщагівська,128', NULL, 11896505.98, 'TO');</v>
      </c>
      <c r="O134" t="str">
        <f t="shared" si="6"/>
        <v>insert into business_analytic.report.orenda values(2026, 3, '2021122900', 'Київ,Фора-245 Борщагівська,128', NULL, 17571819.83, 'TO');</v>
      </c>
      <c r="P134" t="str">
        <f t="shared" si="7"/>
        <v>insert into business_analytic.report.orenda values(2026, 4, '2021122900', 'Київ,Фора-245 Борщагівська,128', NULL, 17754459.93, 'TO');</v>
      </c>
      <c r="Q134" t="str">
        <f t="shared" si="8"/>
        <v>insert into business_analytic.report.orenda values(2026, 5, '2021122900', 'Київ,Фора-245 Борщагівська,128', NULL, 19397243.3, 'TO');</v>
      </c>
    </row>
    <row r="135" spans="1:17" x14ac:dyDescent="0.3">
      <c r="A135" t="s">
        <v>12</v>
      </c>
      <c r="B135" t="s">
        <v>478</v>
      </c>
      <c r="C135" t="s">
        <v>762</v>
      </c>
      <c r="D135" s="2">
        <v>6051674.6499999994</v>
      </c>
      <c r="E135" s="2">
        <v>5814182.79</v>
      </c>
      <c r="F135" s="2">
        <v>6523890.7499999991</v>
      </c>
      <c r="G135" s="2">
        <v>6590313.3300000001</v>
      </c>
      <c r="H135" s="2">
        <v>6987879.8099999996</v>
      </c>
      <c r="I135" s="2">
        <v>6891966.3699999992</v>
      </c>
      <c r="J135" s="2">
        <v>2582655.37</v>
      </c>
      <c r="K135" s="2">
        <v>41442563.069999993</v>
      </c>
      <c r="L135" s="2"/>
      <c r="M135" t="str">
        <f t="shared" si="5"/>
        <v>insert into business_analytic.report.orenda values(2026, 1, '2021123000', 'Бориспіль,Фора-246 Калмикова,2', NULL, 6051674.65, 'TO');</v>
      </c>
      <c r="N135" t="str">
        <f t="shared" si="6"/>
        <v>insert into business_analytic.report.orenda values(2026, 2, '2021123000', 'Бориспіль,Фора-246 Калмикова,2', NULL, 5814182.79, 'TO');</v>
      </c>
      <c r="O135" t="str">
        <f t="shared" si="6"/>
        <v>insert into business_analytic.report.orenda values(2026, 3, '2021123000', 'Бориспіль,Фора-246 Калмикова,2', NULL, 6523890.75, 'TO');</v>
      </c>
      <c r="P135" t="str">
        <f t="shared" si="7"/>
        <v>insert into business_analytic.report.orenda values(2026, 4, '2021123000', 'Бориспіль,Фора-246 Калмикова,2', NULL, 6590313.33, 'TO');</v>
      </c>
      <c r="Q135" t="str">
        <f t="shared" si="8"/>
        <v>insert into business_analytic.report.orenda values(2026, 5, '2021123000', 'Бориспіль,Фора-246 Калмикова,2', NULL, 6987879.81, 'TO');</v>
      </c>
    </row>
    <row r="136" spans="1:17" x14ac:dyDescent="0.3">
      <c r="A136" t="s">
        <v>169</v>
      </c>
      <c r="B136" t="s">
        <v>479</v>
      </c>
      <c r="C136" t="s">
        <v>762</v>
      </c>
      <c r="D136" s="2">
        <v>7059328.0800000001</v>
      </c>
      <c r="E136" s="2">
        <v>6453789.3700000001</v>
      </c>
      <c r="F136" s="2">
        <v>7413591.75</v>
      </c>
      <c r="G136" s="2">
        <v>7564052.04</v>
      </c>
      <c r="H136" s="2">
        <v>8098611.5499999998</v>
      </c>
      <c r="I136" s="2">
        <v>8153835.0099999988</v>
      </c>
      <c r="J136" s="2">
        <v>3341468.22</v>
      </c>
      <c r="K136" s="2">
        <v>48084676.019999996</v>
      </c>
      <c r="L136" s="2"/>
      <c r="M136" t="str">
        <f t="shared" si="5"/>
        <v>insert into business_analytic.report.orenda values(2026, 1, '2021123100', 'Кагарлик,Фора-247 Незалежності,14', NULL, 7059328.08, 'TO');</v>
      </c>
      <c r="N136" t="str">
        <f t="shared" si="6"/>
        <v>insert into business_analytic.report.orenda values(2026, 2, '2021123100', 'Кагарлик,Фора-247 Незалежності,14', NULL, 6453789.37, 'TO');</v>
      </c>
      <c r="O136" t="str">
        <f t="shared" si="6"/>
        <v>insert into business_analytic.report.orenda values(2026, 3, '2021123100', 'Кагарлик,Фора-247 Незалежності,14', NULL, 7413591.75, 'TO');</v>
      </c>
      <c r="P136" t="str">
        <f t="shared" si="7"/>
        <v>insert into business_analytic.report.orenda values(2026, 4, '2021123100', 'Кагарлик,Фора-247 Незалежності,14', NULL, 7564052.04, 'TO');</v>
      </c>
      <c r="Q136" t="str">
        <f t="shared" si="8"/>
        <v>insert into business_analytic.report.orenda values(2026, 5, '2021123100', 'Кагарлик,Фора-247 Незалежності,14', NULL, 8098611.55, 'TO');</v>
      </c>
    </row>
    <row r="137" spans="1:17" x14ac:dyDescent="0.3">
      <c r="A137" t="s">
        <v>324</v>
      </c>
      <c r="B137" t="s">
        <v>1017</v>
      </c>
      <c r="C137" t="s">
        <v>1018</v>
      </c>
      <c r="D137" s="2">
        <v>15633409.200000001</v>
      </c>
      <c r="E137" s="2">
        <v>14671859.34</v>
      </c>
      <c r="F137" s="2">
        <v>16936750.719999999</v>
      </c>
      <c r="G137" s="2">
        <v>17192148.959999997</v>
      </c>
      <c r="H137" s="2">
        <v>18728047.489999998</v>
      </c>
      <c r="I137" s="2">
        <v>18038659.529999997</v>
      </c>
      <c r="J137" s="2">
        <v>7066528.0999999996</v>
      </c>
      <c r="K137" s="2">
        <v>108267403.34</v>
      </c>
      <c r="L137" s="2"/>
      <c r="M137" t="str">
        <f t="shared" ref="M137:M200" si="9">"insert into business_analytic.report.orenda values("&amp;2026&amp;", "&amp;D$7&amp;", '"&amp;$A137&amp;"', '"&amp;$B137&amp;"', "&amp;"NULL"&amp;", "&amp;IF(D137="",0,D137)&amp;", "&amp;"'TO'"&amp;");"</f>
        <v>insert into business_analytic.report.orenda values(2026, 1, '2021123200', 'Велика Димерка,Фора-248 Промислова,2Б', NULL, 15633409.2, 'TO');</v>
      </c>
      <c r="N137" t="str">
        <f t="shared" ref="N137:O200" si="10">"insert into business_analytic.report.orenda values("&amp;2026&amp;", "&amp;E$7&amp;", '"&amp;$A137&amp;"', '"&amp;$B137&amp;"', "&amp;"NULL"&amp;", "&amp;IF(E137="",0,E137)&amp;", "&amp;"'TO'"&amp;");"</f>
        <v>insert into business_analytic.report.orenda values(2026, 2, '2021123200', 'Велика Димерка,Фора-248 Промислова,2Б', NULL, 14671859.34, 'TO');</v>
      </c>
      <c r="O137" t="str">
        <f t="shared" si="10"/>
        <v>insert into business_analytic.report.orenda values(2026, 3, '2021123200', 'Велика Димерка,Фора-248 Промислова,2Б', NULL, 16936750.72, 'TO');</v>
      </c>
      <c r="P137" t="str">
        <f t="shared" ref="P137:P200" si="11">"insert into business_analytic.report.orenda values("&amp;2026&amp;", "&amp;G$7&amp;", '"&amp;$A137&amp;"', '"&amp;$B137&amp;"', "&amp;"NULL"&amp;", "&amp;IF(G137="",0,G137)&amp;", "&amp;"'TO'"&amp;");"</f>
        <v>insert into business_analytic.report.orenda values(2026, 4, '2021123200', 'Велика Димерка,Фора-248 Промислова,2Б', NULL, 17192148.96, 'TO');</v>
      </c>
      <c r="Q137" t="str">
        <f t="shared" ref="Q137:Q200" si="12">"insert into business_analytic.report.orenda values("&amp;2026&amp;", "&amp;H$7&amp;", '"&amp;$A137&amp;"', '"&amp;$B137&amp;"', "&amp;"NULL"&amp;", "&amp;IF(H137="",0,H137)&amp;", "&amp;"'TO'"&amp;");"</f>
        <v>insert into business_analytic.report.orenda values(2026, 5, '2021123200', 'Велика Димерка,Фора-248 Промислова,2Б', NULL, 18728047.49, 'TO');</v>
      </c>
    </row>
    <row r="138" spans="1:17" x14ac:dyDescent="0.3">
      <c r="A138" t="s">
        <v>325</v>
      </c>
      <c r="B138" t="s">
        <v>1019</v>
      </c>
      <c r="C138" t="s">
        <v>763</v>
      </c>
      <c r="D138" s="2">
        <v>14688576.35</v>
      </c>
      <c r="E138" s="2">
        <v>14008710.839999998</v>
      </c>
      <c r="F138" s="2">
        <v>15281664.969999999</v>
      </c>
      <c r="G138" s="2">
        <v>14838837.09</v>
      </c>
      <c r="H138" s="2">
        <v>15669585.439999998</v>
      </c>
      <c r="I138" s="2">
        <v>14438404.07</v>
      </c>
      <c r="J138" s="2">
        <v>5255235.3199999994</v>
      </c>
      <c r="K138" s="2">
        <v>94181014.079999983</v>
      </c>
      <c r="L138" s="2"/>
      <c r="M138" t="str">
        <f t="shared" si="9"/>
        <v>insert into business_analytic.report.orenda values(2026, 1, '2021123300', 'Київ,Фора-249 Левицького,19А', NULL, 14688576.35, 'TO');</v>
      </c>
      <c r="N138" t="str">
        <f t="shared" si="10"/>
        <v>insert into business_analytic.report.orenda values(2026, 2, '2021123300', 'Київ,Фора-249 Левицького,19А', NULL, 14008710.84, 'TO');</v>
      </c>
      <c r="O138" t="str">
        <f t="shared" si="10"/>
        <v>insert into business_analytic.report.orenda values(2026, 3, '2021123300', 'Київ,Фора-249 Левицького,19А', NULL, 15281664.97, 'TO');</v>
      </c>
      <c r="P138" t="str">
        <f t="shared" si="11"/>
        <v>insert into business_analytic.report.orenda values(2026, 4, '2021123300', 'Київ,Фора-249 Левицького,19А', NULL, 14838837.09, 'TO');</v>
      </c>
      <c r="Q138" t="str">
        <f t="shared" si="12"/>
        <v>insert into business_analytic.report.orenda values(2026, 5, '2021123300', 'Київ,Фора-249 Левицького,19А', NULL, 15669585.44, 'TO');</v>
      </c>
    </row>
    <row r="139" spans="1:17" x14ac:dyDescent="0.3">
      <c r="A139" t="s">
        <v>170</v>
      </c>
      <c r="B139" t="s">
        <v>480</v>
      </c>
      <c r="C139" t="s">
        <v>763</v>
      </c>
      <c r="D139" s="2">
        <v>4232037.0999999987</v>
      </c>
      <c r="E139" s="2">
        <v>4014429.7199999997</v>
      </c>
      <c r="F139" s="2">
        <v>4420939.33</v>
      </c>
      <c r="G139" s="2">
        <v>4174648.1099999994</v>
      </c>
      <c r="H139" s="2">
        <v>4628044.79</v>
      </c>
      <c r="I139" s="2">
        <v>4198983</v>
      </c>
      <c r="J139" s="2">
        <v>1545711.9</v>
      </c>
      <c r="K139" s="2">
        <v>27214793.949999996</v>
      </c>
      <c r="L139" s="2"/>
      <c r="M139" t="str">
        <f t="shared" si="9"/>
        <v>insert into business_analytic.report.orenda values(2026, 1, '2021123400', 'Київ,Фора-250 Ружинська,26/41', NULL, 4232037.1, 'TO');</v>
      </c>
      <c r="N139" t="str">
        <f t="shared" si="10"/>
        <v>insert into business_analytic.report.orenda values(2026, 2, '2021123400', 'Київ,Фора-250 Ружинська,26/41', NULL, 4014429.72, 'TO');</v>
      </c>
      <c r="O139" t="str">
        <f t="shared" si="10"/>
        <v>insert into business_analytic.report.orenda values(2026, 3, '2021123400', 'Київ,Фора-250 Ружинська,26/41', NULL, 4420939.33, 'TO');</v>
      </c>
      <c r="P139" t="str">
        <f t="shared" si="11"/>
        <v>insert into business_analytic.report.orenda values(2026, 4, '2021123400', 'Київ,Фора-250 Ружинська,26/41', NULL, 4174648.11, 'TO');</v>
      </c>
      <c r="Q139" t="str">
        <f t="shared" si="12"/>
        <v>insert into business_analytic.report.orenda values(2026, 5, '2021123400', 'Київ,Фора-250 Ружинська,26/41', NULL, 4628044.79, 'TO');</v>
      </c>
    </row>
    <row r="140" spans="1:17" x14ac:dyDescent="0.3">
      <c r="A140" t="s">
        <v>171</v>
      </c>
      <c r="B140" t="s">
        <v>661</v>
      </c>
      <c r="C140" t="s">
        <v>764</v>
      </c>
      <c r="D140" s="2">
        <v>4316012.79</v>
      </c>
      <c r="E140" s="2">
        <v>4239764.4800000004</v>
      </c>
      <c r="F140" s="2">
        <v>4886310.3699999992</v>
      </c>
      <c r="G140" s="2">
        <v>4834628.3599999994</v>
      </c>
      <c r="H140" s="2">
        <v>5244235.1599999992</v>
      </c>
      <c r="I140" s="2">
        <v>5009669.9499999993</v>
      </c>
      <c r="J140" s="2">
        <v>1812266.68</v>
      </c>
      <c r="K140" s="2">
        <v>30342887.789999995</v>
      </c>
      <c r="L140" s="2"/>
      <c r="M140" t="str">
        <f t="shared" si="9"/>
        <v>insert into business_analytic.report.orenda values(2026, 1, '2021123500', 'Київ,Фора-251 Покотила,7/2', NULL, 4316012.79, 'TO');</v>
      </c>
      <c r="N140" t="str">
        <f t="shared" si="10"/>
        <v>insert into business_analytic.report.orenda values(2026, 2, '2021123500', 'Київ,Фора-251 Покотила,7/2', NULL, 4239764.48, 'TO');</v>
      </c>
      <c r="O140" t="str">
        <f t="shared" si="10"/>
        <v>insert into business_analytic.report.orenda values(2026, 3, '2021123500', 'Київ,Фора-251 Покотила,7/2', NULL, 4886310.37, 'TO');</v>
      </c>
      <c r="P140" t="str">
        <f t="shared" si="11"/>
        <v>insert into business_analytic.report.orenda values(2026, 4, '2021123500', 'Київ,Фора-251 Покотила,7/2', NULL, 4834628.36, 'TO');</v>
      </c>
      <c r="Q140" t="str">
        <f t="shared" si="12"/>
        <v>insert into business_analytic.report.orenda values(2026, 5, '2021123500', 'Київ,Фора-251 Покотила,7/2', NULL, 5244235.16, 'TO');</v>
      </c>
    </row>
    <row r="141" spans="1:17" x14ac:dyDescent="0.3">
      <c r="A141" t="s">
        <v>172</v>
      </c>
      <c r="B141" t="s">
        <v>481</v>
      </c>
      <c r="C141" t="s">
        <v>765</v>
      </c>
      <c r="D141" s="2">
        <v>6960965.4999999991</v>
      </c>
      <c r="E141" s="2">
        <v>6221197.1499999994</v>
      </c>
      <c r="F141" s="2">
        <v>7712477.5899999999</v>
      </c>
      <c r="G141" s="2">
        <v>8063118.2899999991</v>
      </c>
      <c r="H141" s="2">
        <v>8398052.1399999987</v>
      </c>
      <c r="I141" s="2">
        <v>7472215.3499999987</v>
      </c>
      <c r="J141" s="2">
        <v>2790351.5799999996</v>
      </c>
      <c r="K141" s="2">
        <v>47618377.599999994</v>
      </c>
      <c r="L141" s="2"/>
      <c r="M141" t="str">
        <f t="shared" si="9"/>
        <v>insert into business_analytic.report.orenda values(2026, 1, '2021123600', 'Бородянка,Фора-252 Паркова,2', NULL, 6960965.5, 'TO');</v>
      </c>
      <c r="N141" t="str">
        <f t="shared" si="10"/>
        <v>insert into business_analytic.report.orenda values(2026, 2, '2021123600', 'Бородянка,Фора-252 Паркова,2', NULL, 6221197.15, 'TO');</v>
      </c>
      <c r="O141" t="str">
        <f t="shared" si="10"/>
        <v>insert into business_analytic.report.orenda values(2026, 3, '2021123600', 'Бородянка,Фора-252 Паркова,2', NULL, 7712477.59, 'TO');</v>
      </c>
      <c r="P141" t="str">
        <f t="shared" si="11"/>
        <v>insert into business_analytic.report.orenda values(2026, 4, '2021123600', 'Бородянка,Фора-252 Паркова,2', NULL, 8063118.29, 'TO');</v>
      </c>
      <c r="Q141" t="str">
        <f t="shared" si="12"/>
        <v>insert into business_analytic.report.orenda values(2026, 5, '2021123600', 'Бородянка,Фора-252 Паркова,2', NULL, 8398052.14, 'TO');</v>
      </c>
    </row>
    <row r="142" spans="1:17" x14ac:dyDescent="0.3">
      <c r="A142" t="s">
        <v>326</v>
      </c>
      <c r="B142" t="s">
        <v>1020</v>
      </c>
      <c r="C142" t="s">
        <v>1021</v>
      </c>
      <c r="D142" s="2">
        <v>9831792.5899999999</v>
      </c>
      <c r="E142" s="2">
        <v>9667853.2299999986</v>
      </c>
      <c r="F142" s="2">
        <v>10852938.999999998</v>
      </c>
      <c r="G142" s="2">
        <v>10854358.119999999</v>
      </c>
      <c r="H142" s="2">
        <v>11367659.529999999</v>
      </c>
      <c r="I142" s="2">
        <v>10876981.07</v>
      </c>
      <c r="J142" s="2">
        <v>3918188.82</v>
      </c>
      <c r="K142" s="2">
        <v>67369772.359999999</v>
      </c>
      <c r="L142" s="2"/>
      <c r="M142" t="str">
        <f t="shared" si="9"/>
        <v>insert into business_analytic.report.orenda values(2026, 1, '2021123700', 'ПетрБорщагівка,Фора-254 Садова,1Г', NULL, 9831792.59, 'TO');</v>
      </c>
      <c r="N142" t="str">
        <f t="shared" si="10"/>
        <v>insert into business_analytic.report.orenda values(2026, 2, '2021123700', 'ПетрБорщагівка,Фора-254 Садова,1Г', NULL, 9667853.23, 'TO');</v>
      </c>
      <c r="O142" t="str">
        <f t="shared" si="10"/>
        <v>insert into business_analytic.report.orenda values(2026, 3, '2021123700', 'ПетрБорщагівка,Фора-254 Садова,1Г', NULL, 10852939, 'TO');</v>
      </c>
      <c r="P142" t="str">
        <f t="shared" si="11"/>
        <v>insert into business_analytic.report.orenda values(2026, 4, '2021123700', 'ПетрБорщагівка,Фора-254 Садова,1Г', NULL, 10854358.12, 'TO');</v>
      </c>
      <c r="Q142" t="str">
        <f t="shared" si="12"/>
        <v>insert into business_analytic.report.orenda values(2026, 5, '2021123700', 'ПетрБорщагівка,Фора-254 Садова,1Г', NULL, 11367659.53, 'TO');</v>
      </c>
    </row>
    <row r="143" spans="1:17" x14ac:dyDescent="0.3">
      <c r="A143" t="s">
        <v>327</v>
      </c>
      <c r="B143" t="s">
        <v>1022</v>
      </c>
      <c r="C143" t="s">
        <v>1023</v>
      </c>
      <c r="D143" s="2">
        <v>4188125.0499999993</v>
      </c>
      <c r="E143" s="2">
        <v>3618853.0799999996</v>
      </c>
      <c r="F143" s="2">
        <v>4289668.2699999996</v>
      </c>
      <c r="G143" s="2">
        <v>4507338.4499999993</v>
      </c>
      <c r="H143" s="2">
        <v>5522094.9499999993</v>
      </c>
      <c r="I143" s="2">
        <v>5861951.7399999993</v>
      </c>
      <c r="J143" s="2">
        <v>2342724.65</v>
      </c>
      <c r="K143" s="2">
        <v>30330756.189999994</v>
      </c>
      <c r="L143" s="2"/>
      <c r="M143" t="str">
        <f t="shared" si="9"/>
        <v>insert into business_analytic.report.orenda values(2026, 1, '2021123800', 'Глеваха,Фора-255 Ботанічна,19', NULL, 4188125.05, 'TO');</v>
      </c>
      <c r="N143" t="str">
        <f t="shared" si="10"/>
        <v>insert into business_analytic.report.orenda values(2026, 2, '2021123800', 'Глеваха,Фора-255 Ботанічна,19', NULL, 3618853.08, 'TO');</v>
      </c>
      <c r="O143" t="str">
        <f t="shared" si="10"/>
        <v>insert into business_analytic.report.orenda values(2026, 3, '2021123800', 'Глеваха,Фора-255 Ботанічна,19', NULL, 4289668.27, 'TO');</v>
      </c>
      <c r="P143" t="str">
        <f t="shared" si="11"/>
        <v>insert into business_analytic.report.orenda values(2026, 4, '2021123800', 'Глеваха,Фора-255 Ботанічна,19', NULL, 4507338.45, 'TO');</v>
      </c>
      <c r="Q143" t="str">
        <f t="shared" si="12"/>
        <v>insert into business_analytic.report.orenda values(2026, 5, '2021123800', 'Глеваха,Фора-255 Ботанічна,19', NULL, 5522094.95, 'TO');</v>
      </c>
    </row>
    <row r="144" spans="1:17" x14ac:dyDescent="0.3">
      <c r="A144" t="s">
        <v>13</v>
      </c>
      <c r="B144" t="s">
        <v>690</v>
      </c>
      <c r="C144" t="s">
        <v>766</v>
      </c>
      <c r="D144" s="2">
        <v>16202868.640000001</v>
      </c>
      <c r="E144" s="2">
        <v>16026019.669999998</v>
      </c>
      <c r="F144" s="2">
        <v>18194974.809999999</v>
      </c>
      <c r="G144" s="2">
        <v>17338723.159999996</v>
      </c>
      <c r="H144" s="2">
        <v>18342372.73</v>
      </c>
      <c r="I144" s="2">
        <v>16480213.359999999</v>
      </c>
      <c r="J144" s="2">
        <v>5764251.0899999989</v>
      </c>
      <c r="K144" s="2">
        <v>108349423.46000001</v>
      </c>
      <c r="L144" s="2"/>
      <c r="M144" t="str">
        <f t="shared" si="9"/>
        <v>insert into business_analytic.report.orenda values(2026, 1, '2021124000', 'Київ,Фора-257 Білецького,3', NULL, 16202868.64, 'TO');</v>
      </c>
      <c r="N144" t="str">
        <f t="shared" si="10"/>
        <v>insert into business_analytic.report.orenda values(2026, 2, '2021124000', 'Київ,Фора-257 Білецького,3', NULL, 16026019.67, 'TO');</v>
      </c>
      <c r="O144" t="str">
        <f t="shared" si="10"/>
        <v>insert into business_analytic.report.orenda values(2026, 3, '2021124000', 'Київ,Фора-257 Білецького,3', NULL, 18194974.81, 'TO');</v>
      </c>
      <c r="P144" t="str">
        <f t="shared" si="11"/>
        <v>insert into business_analytic.report.orenda values(2026, 4, '2021124000', 'Київ,Фора-257 Білецького,3', NULL, 17338723.16, 'TO');</v>
      </c>
      <c r="Q144" t="str">
        <f t="shared" si="12"/>
        <v>insert into business_analytic.report.orenda values(2026, 5, '2021124000', 'Київ,Фора-257 Білецького,3', NULL, 18342372.73, 'TO');</v>
      </c>
    </row>
    <row r="145" spans="1:17" x14ac:dyDescent="0.3">
      <c r="A145" t="s">
        <v>328</v>
      </c>
      <c r="B145" t="s">
        <v>1024</v>
      </c>
      <c r="C145" t="s">
        <v>1025</v>
      </c>
      <c r="D145" s="2">
        <v>5472764.3499999987</v>
      </c>
      <c r="E145" s="2">
        <v>5160416.9999999991</v>
      </c>
      <c r="F145" s="2">
        <v>6017163.3199999994</v>
      </c>
      <c r="G145" s="2">
        <v>5658995.0199999996</v>
      </c>
      <c r="H145" s="2">
        <v>5941095.1600000001</v>
      </c>
      <c r="I145" s="2">
        <v>5966852.0999999996</v>
      </c>
      <c r="J145" s="2">
        <v>2255600.7199999997</v>
      </c>
      <c r="K145" s="2">
        <v>36472887.669999994</v>
      </c>
      <c r="L145" s="2"/>
      <c r="M145" t="str">
        <f t="shared" si="9"/>
        <v>insert into business_analytic.report.orenda values(2026, 1, '2021124100', 'Бровари,Фора-258 Оникієнка,20/2', NULL, 5472764.35, 'TO');</v>
      </c>
      <c r="N145" t="str">
        <f t="shared" si="10"/>
        <v>insert into business_analytic.report.orenda values(2026, 2, '2021124100', 'Бровари,Фора-258 Оникієнка,20/2', NULL, 5160417, 'TO');</v>
      </c>
      <c r="O145" t="str">
        <f t="shared" si="10"/>
        <v>insert into business_analytic.report.orenda values(2026, 3, '2021124100', 'Бровари,Фора-258 Оникієнка,20/2', NULL, 6017163.32, 'TO');</v>
      </c>
      <c r="P145" t="str">
        <f t="shared" si="11"/>
        <v>insert into business_analytic.report.orenda values(2026, 4, '2021124100', 'Бровари,Фора-258 Оникієнка,20/2', NULL, 5658995.02, 'TO');</v>
      </c>
      <c r="Q145" t="str">
        <f t="shared" si="12"/>
        <v>insert into business_analytic.report.orenda values(2026, 5, '2021124100', 'Бровари,Фора-258 Оникієнка,20/2', NULL, 5941095.16, 'TO');</v>
      </c>
    </row>
    <row r="146" spans="1:17" x14ac:dyDescent="0.3">
      <c r="A146" t="s">
        <v>173</v>
      </c>
      <c r="B146" t="s">
        <v>482</v>
      </c>
      <c r="C146" t="s">
        <v>767</v>
      </c>
      <c r="D146" s="2">
        <v>3920215.29</v>
      </c>
      <c r="E146" s="2">
        <v>3824877.06</v>
      </c>
      <c r="F146" s="2">
        <v>4205827.2699999996</v>
      </c>
      <c r="G146" s="2">
        <v>4108740.1100000003</v>
      </c>
      <c r="H146" s="2">
        <v>4427915.959999999</v>
      </c>
      <c r="I146" s="2">
        <v>4279135.7700000005</v>
      </c>
      <c r="J146" s="2">
        <v>1577907.73</v>
      </c>
      <c r="K146" s="2">
        <v>26344619.189999998</v>
      </c>
      <c r="L146" s="2"/>
      <c r="M146" t="str">
        <f t="shared" si="9"/>
        <v>insert into business_analytic.report.orenda values(2026, 1, '2021124200', 'Бровари,Фора-259 Київська,92', NULL, 3920215.29, 'TO');</v>
      </c>
      <c r="N146" t="str">
        <f t="shared" si="10"/>
        <v>insert into business_analytic.report.orenda values(2026, 2, '2021124200', 'Бровари,Фора-259 Київська,92', NULL, 3824877.06, 'TO');</v>
      </c>
      <c r="O146" t="str">
        <f t="shared" si="10"/>
        <v>insert into business_analytic.report.orenda values(2026, 3, '2021124200', 'Бровари,Фора-259 Київська,92', NULL, 4205827.27, 'TO');</v>
      </c>
      <c r="P146" t="str">
        <f t="shared" si="11"/>
        <v>insert into business_analytic.report.orenda values(2026, 4, '2021124200', 'Бровари,Фора-259 Київська,92', NULL, 4108740.11, 'TO');</v>
      </c>
      <c r="Q146" t="str">
        <f t="shared" si="12"/>
        <v>insert into business_analytic.report.orenda values(2026, 5, '2021124200', 'Бровари,Фора-259 Київська,92', NULL, 4427915.96, 'TO');</v>
      </c>
    </row>
    <row r="147" spans="1:17" x14ac:dyDescent="0.3">
      <c r="A147" t="s">
        <v>14</v>
      </c>
      <c r="B147" t="s">
        <v>483</v>
      </c>
      <c r="C147" t="s">
        <v>768</v>
      </c>
      <c r="D147" s="2">
        <v>9202846.3099999987</v>
      </c>
      <c r="E147" s="2">
        <v>8634777.0199999996</v>
      </c>
      <c r="F147" s="2">
        <v>9397036.2899999991</v>
      </c>
      <c r="G147" s="2">
        <v>8654225.7100000009</v>
      </c>
      <c r="H147" s="2">
        <v>9155986.3599999994</v>
      </c>
      <c r="I147" s="2">
        <v>8739210.1599999983</v>
      </c>
      <c r="J147" s="2">
        <v>3187564.0999999996</v>
      </c>
      <c r="K147" s="2">
        <v>56971645.950000003</v>
      </c>
      <c r="L147" s="2"/>
      <c r="M147" t="str">
        <f t="shared" si="9"/>
        <v>insert into business_analytic.report.orenda values(2026, 1, '2021124500', 'Київ,Фора-262 Науки,88', NULL, 9202846.31, 'TO');</v>
      </c>
      <c r="N147" t="str">
        <f t="shared" si="10"/>
        <v>insert into business_analytic.report.orenda values(2026, 2, '2021124500', 'Київ,Фора-262 Науки,88', NULL, 8634777.02, 'TO');</v>
      </c>
      <c r="O147" t="str">
        <f t="shared" si="10"/>
        <v>insert into business_analytic.report.orenda values(2026, 3, '2021124500', 'Київ,Фора-262 Науки,88', NULL, 9397036.29, 'TO');</v>
      </c>
      <c r="P147" t="str">
        <f t="shared" si="11"/>
        <v>insert into business_analytic.report.orenda values(2026, 4, '2021124500', 'Київ,Фора-262 Науки,88', NULL, 8654225.71, 'TO');</v>
      </c>
      <c r="Q147" t="str">
        <f t="shared" si="12"/>
        <v>insert into business_analytic.report.orenda values(2026, 5, '2021124500', 'Київ,Фора-262 Науки,88', NULL, 9155986.36, 'TO');</v>
      </c>
    </row>
    <row r="148" spans="1:17" x14ac:dyDescent="0.3">
      <c r="A148" t="s">
        <v>15</v>
      </c>
      <c r="B148" t="s">
        <v>484</v>
      </c>
      <c r="C148" t="s">
        <v>769</v>
      </c>
      <c r="D148" s="2">
        <v>8666719.8199999984</v>
      </c>
      <c r="E148" s="2">
        <v>8085423.7800000003</v>
      </c>
      <c r="F148" s="2">
        <v>9103058.209999999</v>
      </c>
      <c r="G148" s="2">
        <v>8917427.9800000004</v>
      </c>
      <c r="H148" s="2">
        <v>9268809.2699999996</v>
      </c>
      <c r="I148" s="2">
        <v>8548029.0700000003</v>
      </c>
      <c r="J148" s="2">
        <v>3123530.77</v>
      </c>
      <c r="K148" s="2">
        <v>55712998.900000006</v>
      </c>
      <c r="L148" s="2"/>
      <c r="M148" t="str">
        <f t="shared" si="9"/>
        <v>insert into business_analytic.report.orenda values(2026, 1, '2021124600', 'Київ,Фора-263 Воробйова,11', NULL, 8666719.82, 'TO');</v>
      </c>
      <c r="N148" t="str">
        <f t="shared" si="10"/>
        <v>insert into business_analytic.report.orenda values(2026, 2, '2021124600', 'Київ,Фора-263 Воробйова,11', NULL, 8085423.78, 'TO');</v>
      </c>
      <c r="O148" t="str">
        <f t="shared" si="10"/>
        <v>insert into business_analytic.report.orenda values(2026, 3, '2021124600', 'Київ,Фора-263 Воробйова,11', NULL, 9103058.21, 'TO');</v>
      </c>
      <c r="P148" t="str">
        <f t="shared" si="11"/>
        <v>insert into business_analytic.report.orenda values(2026, 4, '2021124600', 'Київ,Фора-263 Воробйова,11', NULL, 8917427.98, 'TO');</v>
      </c>
      <c r="Q148" t="str">
        <f t="shared" si="12"/>
        <v>insert into business_analytic.report.orenda values(2026, 5, '2021124600', 'Київ,Фора-263 Воробйова,11', NULL, 9268809.27, 'TO');</v>
      </c>
    </row>
    <row r="149" spans="1:17" x14ac:dyDescent="0.3">
      <c r="A149" t="s">
        <v>174</v>
      </c>
      <c r="B149" t="s">
        <v>485</v>
      </c>
      <c r="C149" t="s">
        <v>770</v>
      </c>
      <c r="D149" s="2">
        <v>5938231.4999999991</v>
      </c>
      <c r="E149" s="2">
        <v>5520470.5599999987</v>
      </c>
      <c r="F149" s="2">
        <v>6010316.3799999999</v>
      </c>
      <c r="G149" s="2">
        <v>5902112.6699999999</v>
      </c>
      <c r="H149" s="2">
        <v>6295879.9099999992</v>
      </c>
      <c r="I149" s="2">
        <v>5981407.5199999996</v>
      </c>
      <c r="J149" s="2">
        <v>2096040.0299999998</v>
      </c>
      <c r="K149" s="2">
        <v>37744458.569999993</v>
      </c>
      <c r="L149" s="2"/>
      <c r="M149" t="str">
        <f t="shared" si="9"/>
        <v>insert into business_analytic.report.orenda values(2026, 1, '2021124700', 'Київ,Фора-264 Зодчих,16', NULL, 5938231.5, 'TO');</v>
      </c>
      <c r="N149" t="str">
        <f t="shared" si="10"/>
        <v>insert into business_analytic.report.orenda values(2026, 2, '2021124700', 'Київ,Фора-264 Зодчих,16', NULL, 5520470.56, 'TO');</v>
      </c>
      <c r="O149" t="str">
        <f t="shared" si="10"/>
        <v>insert into business_analytic.report.orenda values(2026, 3, '2021124700', 'Київ,Фора-264 Зодчих,16', NULL, 6010316.38, 'TO');</v>
      </c>
      <c r="P149" t="str">
        <f t="shared" si="11"/>
        <v>insert into business_analytic.report.orenda values(2026, 4, '2021124700', 'Київ,Фора-264 Зодчих,16', NULL, 5902112.67, 'TO');</v>
      </c>
      <c r="Q149" t="str">
        <f t="shared" si="12"/>
        <v>insert into business_analytic.report.orenda values(2026, 5, '2021124700', 'Київ,Фора-264 Зодчих,16', NULL, 6295879.91, 'TO');</v>
      </c>
    </row>
    <row r="150" spans="1:17" x14ac:dyDescent="0.3">
      <c r="A150" t="s">
        <v>329</v>
      </c>
      <c r="B150" t="s">
        <v>1026</v>
      </c>
      <c r="C150" t="s">
        <v>1027</v>
      </c>
      <c r="D150" s="2">
        <v>17367377.120000001</v>
      </c>
      <c r="E150" s="2">
        <v>16104706.489999998</v>
      </c>
      <c r="F150" s="2">
        <v>17071276.629999999</v>
      </c>
      <c r="G150" s="2">
        <v>17540463.089999996</v>
      </c>
      <c r="H150" s="2">
        <v>18728836.959999997</v>
      </c>
      <c r="I150" s="2">
        <v>18834155.319999997</v>
      </c>
      <c r="J150" s="2">
        <v>7603140.1200000001</v>
      </c>
      <c r="K150" s="2">
        <v>113249955.73</v>
      </c>
      <c r="L150" s="2"/>
      <c r="M150" t="str">
        <f t="shared" si="9"/>
        <v>insert into business_analytic.report.orenda values(2026, 1, '2021124800', 'Баришівка,Фора-265 Центральна,15', NULL, 17367377.12, 'TO');</v>
      </c>
      <c r="N150" t="str">
        <f t="shared" si="10"/>
        <v>insert into business_analytic.report.orenda values(2026, 2, '2021124800', 'Баришівка,Фора-265 Центральна,15', NULL, 16104706.49, 'TO');</v>
      </c>
      <c r="O150" t="str">
        <f t="shared" si="10"/>
        <v>insert into business_analytic.report.orenda values(2026, 3, '2021124800', 'Баришівка,Фора-265 Центральна,15', NULL, 17071276.63, 'TO');</v>
      </c>
      <c r="P150" t="str">
        <f t="shared" si="11"/>
        <v>insert into business_analytic.report.orenda values(2026, 4, '2021124800', 'Баришівка,Фора-265 Центральна,15', NULL, 17540463.09, 'TO');</v>
      </c>
      <c r="Q150" t="str">
        <f t="shared" si="12"/>
        <v>insert into business_analytic.report.orenda values(2026, 5, '2021124800', 'Баришівка,Фора-265 Центральна,15', NULL, 18728836.96, 'TO');</v>
      </c>
    </row>
    <row r="151" spans="1:17" x14ac:dyDescent="0.3">
      <c r="A151" t="s">
        <v>175</v>
      </c>
      <c r="B151" t="s">
        <v>486</v>
      </c>
      <c r="C151" t="s">
        <v>771</v>
      </c>
      <c r="D151" s="2">
        <v>13453986.879999999</v>
      </c>
      <c r="E151" s="2">
        <v>12466257.489999998</v>
      </c>
      <c r="F151" s="2">
        <v>14070351.399999999</v>
      </c>
      <c r="G151" s="2">
        <v>13935576.319999998</v>
      </c>
      <c r="H151" s="2">
        <v>14388609.589999998</v>
      </c>
      <c r="I151" s="2">
        <v>13442484.319999998</v>
      </c>
      <c r="J151" s="2">
        <v>4926122.9499999993</v>
      </c>
      <c r="K151" s="2">
        <v>86683388.949999988</v>
      </c>
      <c r="L151" s="2"/>
      <c r="M151" t="str">
        <f t="shared" si="9"/>
        <v>insert into business_analytic.report.orenda values(2026, 1, '2021124900', 'Київ,Фора-266 Метрологічна,14Б', NULL, 13453986.88, 'TO');</v>
      </c>
      <c r="N151" t="str">
        <f t="shared" si="10"/>
        <v>insert into business_analytic.report.orenda values(2026, 2, '2021124900', 'Київ,Фора-266 Метрологічна,14Б', NULL, 12466257.49, 'TO');</v>
      </c>
      <c r="O151" t="str">
        <f t="shared" si="10"/>
        <v>insert into business_analytic.report.orenda values(2026, 3, '2021124900', 'Київ,Фора-266 Метрологічна,14Б', NULL, 14070351.4, 'TO');</v>
      </c>
      <c r="P151" t="str">
        <f t="shared" si="11"/>
        <v>insert into business_analytic.report.orenda values(2026, 4, '2021124900', 'Київ,Фора-266 Метрологічна,14Б', NULL, 13935576.32, 'TO');</v>
      </c>
      <c r="Q151" t="str">
        <f t="shared" si="12"/>
        <v>insert into business_analytic.report.orenda values(2026, 5, '2021124900', 'Київ,Фора-266 Метрологічна,14Б', NULL, 14388609.59, 'TO');</v>
      </c>
    </row>
    <row r="152" spans="1:17" x14ac:dyDescent="0.3">
      <c r="A152" t="s">
        <v>16</v>
      </c>
      <c r="B152" t="s">
        <v>487</v>
      </c>
      <c r="C152" t="s">
        <v>772</v>
      </c>
      <c r="D152" s="2">
        <v>5036203.45</v>
      </c>
      <c r="E152" s="2">
        <v>4649865.0599999996</v>
      </c>
      <c r="F152" s="2">
        <v>5257256.76</v>
      </c>
      <c r="G152" s="2">
        <v>5258670.55</v>
      </c>
      <c r="H152" s="2">
        <v>5880252.1699999999</v>
      </c>
      <c r="I152" s="2">
        <v>5813240.0899999999</v>
      </c>
      <c r="J152" s="2">
        <v>2239260.2599999998</v>
      </c>
      <c r="K152" s="2">
        <v>34134748.340000004</v>
      </c>
      <c r="L152" s="2"/>
      <c r="M152" t="str">
        <f t="shared" si="9"/>
        <v>insert into business_analytic.report.orenda values(2026, 1, '2021125000', 'Київ,Фора-267 Дніпроводська,7', NULL, 5036203.45, 'TO');</v>
      </c>
      <c r="N152" t="str">
        <f t="shared" si="10"/>
        <v>insert into business_analytic.report.orenda values(2026, 2, '2021125000', 'Київ,Фора-267 Дніпроводська,7', NULL, 4649865.06, 'TO');</v>
      </c>
      <c r="O152" t="str">
        <f t="shared" si="10"/>
        <v>insert into business_analytic.report.orenda values(2026, 3, '2021125000', 'Київ,Фора-267 Дніпроводська,7', NULL, 5257256.76, 'TO');</v>
      </c>
      <c r="P152" t="str">
        <f t="shared" si="11"/>
        <v>insert into business_analytic.report.orenda values(2026, 4, '2021125000', 'Київ,Фора-267 Дніпроводська,7', NULL, 5258670.55, 'TO');</v>
      </c>
      <c r="Q152" t="str">
        <f t="shared" si="12"/>
        <v>insert into business_analytic.report.orenda values(2026, 5, '2021125000', 'Київ,Фора-267 Дніпроводська,7', NULL, 5880252.17, 'TO');</v>
      </c>
    </row>
    <row r="153" spans="1:17" x14ac:dyDescent="0.3">
      <c r="A153" t="s">
        <v>17</v>
      </c>
      <c r="B153" t="s">
        <v>488</v>
      </c>
      <c r="C153" t="s">
        <v>773</v>
      </c>
      <c r="D153" s="2">
        <v>8350549.3899999997</v>
      </c>
      <c r="E153" s="2">
        <v>7518244.9100000001</v>
      </c>
      <c r="F153" s="2">
        <v>8506152.4100000001</v>
      </c>
      <c r="G153" s="2">
        <v>8267288.1699999999</v>
      </c>
      <c r="H153" s="2">
        <v>8841522.6999999993</v>
      </c>
      <c r="I153" s="2">
        <v>8518371.2199999969</v>
      </c>
      <c r="J153" s="2">
        <v>3204905.57</v>
      </c>
      <c r="K153" s="2">
        <v>53207034.369999997</v>
      </c>
      <c r="L153" s="2"/>
      <c r="M153" t="str">
        <f t="shared" si="9"/>
        <v>insert into business_analytic.report.orenda values(2026, 1, '2021125300', 'Київ,Фора-270 Вереснева,24', NULL, 8350549.39, 'TO');</v>
      </c>
      <c r="N153" t="str">
        <f t="shared" si="10"/>
        <v>insert into business_analytic.report.orenda values(2026, 2, '2021125300', 'Київ,Фора-270 Вереснева,24', NULL, 7518244.91, 'TO');</v>
      </c>
      <c r="O153" t="str">
        <f t="shared" si="10"/>
        <v>insert into business_analytic.report.orenda values(2026, 3, '2021125300', 'Київ,Фора-270 Вереснева,24', NULL, 8506152.41, 'TO');</v>
      </c>
      <c r="P153" t="str">
        <f t="shared" si="11"/>
        <v>insert into business_analytic.report.orenda values(2026, 4, '2021125300', 'Київ,Фора-270 Вереснева,24', NULL, 8267288.17, 'TO');</v>
      </c>
      <c r="Q153" t="str">
        <f t="shared" si="12"/>
        <v>insert into business_analytic.report.orenda values(2026, 5, '2021125300', 'Київ,Фора-270 Вереснева,24', NULL, 8841522.7, 'TO');</v>
      </c>
    </row>
    <row r="154" spans="1:17" x14ac:dyDescent="0.3">
      <c r="A154" t="s">
        <v>330</v>
      </c>
      <c r="B154" t="s">
        <v>1028</v>
      </c>
      <c r="C154" t="s">
        <v>1029</v>
      </c>
      <c r="D154" s="2">
        <v>20116264.139999997</v>
      </c>
      <c r="E154" s="2">
        <v>18173828.52</v>
      </c>
      <c r="F154" s="2">
        <v>20405670.039999999</v>
      </c>
      <c r="G154" s="2">
        <v>21333275.109999999</v>
      </c>
      <c r="H154" s="2">
        <v>24145094.25</v>
      </c>
      <c r="I154" s="2">
        <v>23945379.330000002</v>
      </c>
      <c r="J154" s="2">
        <v>9503055.5899999999</v>
      </c>
      <c r="K154" s="2">
        <v>137622566.97999999</v>
      </c>
      <c r="L154" s="2"/>
      <c r="M154" t="str">
        <f t="shared" si="9"/>
        <v>insert into business_analytic.report.orenda values(2026, 1, '2021125400', 'Гнідин,Фора-271 Центральна,23А', NULL, 20116264.14, 'TO');</v>
      </c>
      <c r="N154" t="str">
        <f t="shared" si="10"/>
        <v>insert into business_analytic.report.orenda values(2026, 2, '2021125400', 'Гнідин,Фора-271 Центральна,23А', NULL, 18173828.52, 'TO');</v>
      </c>
      <c r="O154" t="str">
        <f t="shared" si="10"/>
        <v>insert into business_analytic.report.orenda values(2026, 3, '2021125400', 'Гнідин,Фора-271 Центральна,23А', NULL, 20405670.04, 'TO');</v>
      </c>
      <c r="P154" t="str">
        <f t="shared" si="11"/>
        <v>insert into business_analytic.report.orenda values(2026, 4, '2021125400', 'Гнідин,Фора-271 Центральна,23А', NULL, 21333275.11, 'TO');</v>
      </c>
      <c r="Q154" t="str">
        <f t="shared" si="12"/>
        <v>insert into business_analytic.report.orenda values(2026, 5, '2021125400', 'Гнідин,Фора-271 Центральна,23А', NULL, 24145094.25, 'TO');</v>
      </c>
    </row>
    <row r="155" spans="1:17" x14ac:dyDescent="0.3">
      <c r="A155" t="s">
        <v>331</v>
      </c>
      <c r="B155" t="s">
        <v>1030</v>
      </c>
      <c r="C155" t="s">
        <v>1031</v>
      </c>
      <c r="D155" s="2">
        <v>12713380.389999999</v>
      </c>
      <c r="E155" s="2">
        <v>13136138.32</v>
      </c>
      <c r="F155" s="2">
        <v>15658410.839999998</v>
      </c>
      <c r="G155" s="2">
        <v>15250082.43</v>
      </c>
      <c r="H155" s="2">
        <v>16535133.77</v>
      </c>
      <c r="I155" s="2">
        <v>15853316.73</v>
      </c>
      <c r="J155" s="2">
        <v>5643024.75</v>
      </c>
      <c r="K155" s="2">
        <v>94789487.230000004</v>
      </c>
      <c r="L155" s="2"/>
      <c r="M155" t="str">
        <f t="shared" si="9"/>
        <v>insert into business_analytic.report.orenda values(2026, 1, '2021125500', 'Київ,Фора-273 Мрії,16', NULL, 12713380.39, 'TO');</v>
      </c>
      <c r="N155" t="str">
        <f t="shared" si="10"/>
        <v>insert into business_analytic.report.orenda values(2026, 2, '2021125500', 'Київ,Фора-273 Мрії,16', NULL, 13136138.32, 'TO');</v>
      </c>
      <c r="O155" t="str">
        <f t="shared" si="10"/>
        <v>insert into business_analytic.report.orenda values(2026, 3, '2021125500', 'Київ,Фора-273 Мрії,16', NULL, 15658410.84, 'TO');</v>
      </c>
      <c r="P155" t="str">
        <f t="shared" si="11"/>
        <v>insert into business_analytic.report.orenda values(2026, 4, '2021125500', 'Київ,Фора-273 Мрії,16', NULL, 15250082.43, 'TO');</v>
      </c>
      <c r="Q155" t="str">
        <f t="shared" si="12"/>
        <v>insert into business_analytic.report.orenda values(2026, 5, '2021125500', 'Київ,Фора-273 Мрії,16', NULL, 16535133.77, 'TO');</v>
      </c>
    </row>
    <row r="156" spans="1:17" x14ac:dyDescent="0.3">
      <c r="A156" t="s">
        <v>332</v>
      </c>
      <c r="B156" t="s">
        <v>1032</v>
      </c>
      <c r="C156" t="s">
        <v>977</v>
      </c>
      <c r="D156" s="2">
        <v>9279814.6899999976</v>
      </c>
      <c r="E156" s="2">
        <v>7552019.96</v>
      </c>
      <c r="F156" s="2">
        <v>9940649.4499999993</v>
      </c>
      <c r="G156" s="2">
        <v>9821903.5399999991</v>
      </c>
      <c r="H156" s="2">
        <v>10721295.659999998</v>
      </c>
      <c r="I156" s="2">
        <v>10305106.979999999</v>
      </c>
      <c r="J156" s="2">
        <v>3886527.23</v>
      </c>
      <c r="K156" s="2">
        <v>61507317.509999998</v>
      </c>
      <c r="L156" s="2"/>
      <c r="M156" t="str">
        <f t="shared" si="9"/>
        <v>insert into business_analytic.report.orenda values(2026, 1, '2021125600', 'Святопетрів,Фора-274 Шевченка,1', NULL, 9279814.69, 'TO');</v>
      </c>
      <c r="N156" t="str">
        <f t="shared" si="10"/>
        <v>insert into business_analytic.report.orenda values(2026, 2, '2021125600', 'Святопетрів,Фора-274 Шевченка,1', NULL, 7552019.96, 'TO');</v>
      </c>
      <c r="O156" t="str">
        <f t="shared" si="10"/>
        <v>insert into business_analytic.report.orenda values(2026, 3, '2021125600', 'Святопетрів,Фора-274 Шевченка,1', NULL, 9940649.45, 'TO');</v>
      </c>
      <c r="P156" t="str">
        <f t="shared" si="11"/>
        <v>insert into business_analytic.report.orenda values(2026, 4, '2021125600', 'Святопетрів,Фора-274 Шевченка,1', NULL, 9821903.54, 'TO');</v>
      </c>
      <c r="Q156" t="str">
        <f t="shared" si="12"/>
        <v>insert into business_analytic.report.orenda values(2026, 5, '2021125600', 'Святопетрів,Фора-274 Шевченка,1', NULL, 10721295.66, 'TO');</v>
      </c>
    </row>
    <row r="157" spans="1:17" x14ac:dyDescent="0.3">
      <c r="A157" t="s">
        <v>176</v>
      </c>
      <c r="B157" t="s">
        <v>489</v>
      </c>
      <c r="C157" t="s">
        <v>774</v>
      </c>
      <c r="D157" s="2">
        <v>6473196.6799999988</v>
      </c>
      <c r="E157" s="2">
        <v>6187809.6699999999</v>
      </c>
      <c r="F157" s="2">
        <v>7363827.6299999999</v>
      </c>
      <c r="G157" s="2">
        <v>7179145.5999999996</v>
      </c>
      <c r="H157" s="2">
        <v>7708949.2599999998</v>
      </c>
      <c r="I157" s="2">
        <v>7383128.8499999987</v>
      </c>
      <c r="J157" s="2">
        <v>2760229.8299999996</v>
      </c>
      <c r="K157" s="2">
        <v>45056287.519999996</v>
      </c>
      <c r="L157" s="2"/>
      <c r="M157" t="str">
        <f t="shared" si="9"/>
        <v>insert into business_analytic.report.orenda values(2026, 1, '2021125700', 'Київ,Фора-275 Броварський,51', NULL, 6473196.68, 'TO');</v>
      </c>
      <c r="N157" t="str">
        <f t="shared" si="10"/>
        <v>insert into business_analytic.report.orenda values(2026, 2, '2021125700', 'Київ,Фора-275 Броварський,51', NULL, 6187809.67, 'TO');</v>
      </c>
      <c r="O157" t="str">
        <f t="shared" si="10"/>
        <v>insert into business_analytic.report.orenda values(2026, 3, '2021125700', 'Київ,Фора-275 Броварський,51', NULL, 7363827.63, 'TO');</v>
      </c>
      <c r="P157" t="str">
        <f t="shared" si="11"/>
        <v>insert into business_analytic.report.orenda values(2026, 4, '2021125700', 'Київ,Фора-275 Броварський,51', NULL, 7179145.6, 'TO');</v>
      </c>
      <c r="Q157" t="str">
        <f t="shared" si="12"/>
        <v>insert into business_analytic.report.orenda values(2026, 5, '2021125700', 'Київ,Фора-275 Броварський,51', NULL, 7708949.26, 'TO');</v>
      </c>
    </row>
    <row r="158" spans="1:17" x14ac:dyDescent="0.3">
      <c r="A158" t="s">
        <v>177</v>
      </c>
      <c r="B158" t="s">
        <v>679</v>
      </c>
      <c r="C158" t="s">
        <v>775</v>
      </c>
      <c r="D158" s="2">
        <v>11660285.42</v>
      </c>
      <c r="E158" s="2">
        <v>11548115.65</v>
      </c>
      <c r="F158" s="2">
        <v>13233091.719999997</v>
      </c>
      <c r="G158" s="2">
        <v>13664520.9</v>
      </c>
      <c r="H158" s="2">
        <v>15301553.179999998</v>
      </c>
      <c r="I158" s="2">
        <v>15161207.559999999</v>
      </c>
      <c r="J158" s="2">
        <v>5802580.2799999993</v>
      </c>
      <c r="K158" s="2">
        <v>86371354.709999993</v>
      </c>
      <c r="L158" s="2"/>
      <c r="M158" t="str">
        <f t="shared" si="9"/>
        <v>insert into business_analytic.report.orenda values(2026, 1, '2021125800', 'Требухів,Фора-276 Броварська,19А', NULL, 11660285.42, 'TO');</v>
      </c>
      <c r="N158" t="str">
        <f t="shared" si="10"/>
        <v>insert into business_analytic.report.orenda values(2026, 2, '2021125800', 'Требухів,Фора-276 Броварська,19А', NULL, 11548115.65, 'TO');</v>
      </c>
      <c r="O158" t="str">
        <f t="shared" si="10"/>
        <v>insert into business_analytic.report.orenda values(2026, 3, '2021125800', 'Требухів,Фора-276 Броварська,19А', NULL, 13233091.72, 'TO');</v>
      </c>
      <c r="P158" t="str">
        <f t="shared" si="11"/>
        <v>insert into business_analytic.report.orenda values(2026, 4, '2021125800', 'Требухів,Фора-276 Броварська,19А', NULL, 13664520.9, 'TO');</v>
      </c>
      <c r="Q158" t="str">
        <f t="shared" si="12"/>
        <v>insert into business_analytic.report.orenda values(2026, 5, '2021125800', 'Требухів,Фора-276 Броварська,19А', NULL, 15301553.18, 'TO');</v>
      </c>
    </row>
    <row r="159" spans="1:17" x14ac:dyDescent="0.3">
      <c r="A159" t="s">
        <v>18</v>
      </c>
      <c r="B159" t="s">
        <v>490</v>
      </c>
      <c r="C159" t="s">
        <v>776</v>
      </c>
      <c r="D159" s="2">
        <v>11166260.689999999</v>
      </c>
      <c r="E159" s="2">
        <v>9242587.7899999972</v>
      </c>
      <c r="F159" s="2">
        <v>8924079.6599999983</v>
      </c>
      <c r="G159" s="2">
        <v>8941600.2699999996</v>
      </c>
      <c r="H159" s="2">
        <v>8973450.5299999993</v>
      </c>
      <c r="I159" s="2">
        <v>8051631.9299999997</v>
      </c>
      <c r="J159" s="2">
        <v>2933581.7</v>
      </c>
      <c r="K159" s="2">
        <v>58233192.57</v>
      </c>
      <c r="L159" s="2"/>
      <c r="M159" t="str">
        <f t="shared" si="9"/>
        <v>insert into business_analytic.report.orenda values(2026, 1, '2021125900', 'Київ,Фора-277 Якуба Коласа,25', NULL, 11166260.69, 'TO');</v>
      </c>
      <c r="N159" t="str">
        <f t="shared" si="10"/>
        <v>insert into business_analytic.report.orenda values(2026, 2, '2021125900', 'Київ,Фора-277 Якуба Коласа,25', NULL, 9242587.79, 'TO');</v>
      </c>
      <c r="O159" t="str">
        <f t="shared" si="10"/>
        <v>insert into business_analytic.report.orenda values(2026, 3, '2021125900', 'Київ,Фора-277 Якуба Коласа,25', NULL, 8924079.66, 'TO');</v>
      </c>
      <c r="P159" t="str">
        <f t="shared" si="11"/>
        <v>insert into business_analytic.report.orenda values(2026, 4, '2021125900', 'Київ,Фора-277 Якуба Коласа,25', NULL, 8941600.27, 'TO');</v>
      </c>
      <c r="Q159" t="str">
        <f t="shared" si="12"/>
        <v>insert into business_analytic.report.orenda values(2026, 5, '2021125900', 'Київ,Фора-277 Якуба Коласа,25', NULL, 8973450.53, 'TO');</v>
      </c>
    </row>
    <row r="160" spans="1:17" x14ac:dyDescent="0.3">
      <c r="A160" t="s">
        <v>19</v>
      </c>
      <c r="B160" t="s">
        <v>491</v>
      </c>
      <c r="C160" t="s">
        <v>777</v>
      </c>
      <c r="D160" s="2">
        <v>10078414.989999998</v>
      </c>
      <c r="E160" s="2">
        <v>9288247.4100000001</v>
      </c>
      <c r="F160" s="2">
        <v>10729380.609999999</v>
      </c>
      <c r="G160" s="2">
        <v>11309923.75</v>
      </c>
      <c r="H160" s="2">
        <v>12488607.130000001</v>
      </c>
      <c r="I160" s="2">
        <v>12745208.429999998</v>
      </c>
      <c r="J160" s="2">
        <v>5019033.22</v>
      </c>
      <c r="K160" s="2">
        <v>71658815.539999992</v>
      </c>
      <c r="L160" s="2"/>
      <c r="M160" t="str">
        <f t="shared" si="9"/>
        <v>insert into business_analytic.report.orenda values(2026, 1, '2021126200', 'Гоголів,Фора-280 Київська,167Г', NULL, 10078414.99, 'TO');</v>
      </c>
      <c r="N160" t="str">
        <f t="shared" si="10"/>
        <v>insert into business_analytic.report.orenda values(2026, 2, '2021126200', 'Гоголів,Фора-280 Київська,167Г', NULL, 9288247.41, 'TO');</v>
      </c>
      <c r="O160" t="str">
        <f t="shared" si="10"/>
        <v>insert into business_analytic.report.orenda values(2026, 3, '2021126200', 'Гоголів,Фора-280 Київська,167Г', NULL, 10729380.61, 'TO');</v>
      </c>
      <c r="P160" t="str">
        <f t="shared" si="11"/>
        <v>insert into business_analytic.report.orenda values(2026, 4, '2021126200', 'Гоголів,Фора-280 Київська,167Г', NULL, 11309923.75, 'TO');</v>
      </c>
      <c r="Q160" t="str">
        <f t="shared" si="12"/>
        <v>insert into business_analytic.report.orenda values(2026, 5, '2021126200', 'Гоголів,Фора-280 Київська,167Г', NULL, 12488607.13, 'TO');</v>
      </c>
    </row>
    <row r="161" spans="1:17" x14ac:dyDescent="0.3">
      <c r="A161" t="s">
        <v>20</v>
      </c>
      <c r="B161" t="s">
        <v>492</v>
      </c>
      <c r="C161" t="s">
        <v>778</v>
      </c>
      <c r="D161" s="2">
        <v>10693417.23</v>
      </c>
      <c r="E161" s="2">
        <v>10291743.629999999</v>
      </c>
      <c r="F161" s="2">
        <v>11643638.489999998</v>
      </c>
      <c r="G161" s="2">
        <v>11400889.109999999</v>
      </c>
      <c r="H161" s="2">
        <v>11646978.17</v>
      </c>
      <c r="I161" s="2">
        <v>11009545.130000001</v>
      </c>
      <c r="J161" s="2">
        <v>3903047.98</v>
      </c>
      <c r="K161" s="2">
        <v>70589259.739999995</v>
      </c>
      <c r="L161" s="2"/>
      <c r="M161" t="str">
        <f t="shared" si="9"/>
        <v>insert into business_analytic.report.orenda values(2026, 1, '2021126300', 'Київ,Фора-281 Кирилівська,122/1', NULL, 10693417.23, 'TO');</v>
      </c>
      <c r="N161" t="str">
        <f t="shared" si="10"/>
        <v>insert into business_analytic.report.orenda values(2026, 2, '2021126300', 'Київ,Фора-281 Кирилівська,122/1', NULL, 10291743.63, 'TO');</v>
      </c>
      <c r="O161" t="str">
        <f t="shared" si="10"/>
        <v>insert into business_analytic.report.orenda values(2026, 3, '2021126300', 'Київ,Фора-281 Кирилівська,122/1', NULL, 11643638.49, 'TO');</v>
      </c>
      <c r="P161" t="str">
        <f t="shared" si="11"/>
        <v>insert into business_analytic.report.orenda values(2026, 4, '2021126300', 'Київ,Фора-281 Кирилівська,122/1', NULL, 11400889.11, 'TO');</v>
      </c>
      <c r="Q161" t="str">
        <f t="shared" si="12"/>
        <v>insert into business_analytic.report.orenda values(2026, 5, '2021126300', 'Київ,Фора-281 Кирилівська,122/1', NULL, 11646978.17, 'TO');</v>
      </c>
    </row>
    <row r="162" spans="1:17" x14ac:dyDescent="0.3">
      <c r="A162" t="s">
        <v>178</v>
      </c>
      <c r="B162" t="s">
        <v>493</v>
      </c>
      <c r="C162" t="s">
        <v>779</v>
      </c>
      <c r="D162" s="2">
        <v>9268891.379999999</v>
      </c>
      <c r="E162" s="2">
        <v>8649146.870000001</v>
      </c>
      <c r="F162" s="2">
        <v>9749413.9500000011</v>
      </c>
      <c r="G162" s="2">
        <v>9549377.9400000013</v>
      </c>
      <c r="H162" s="2">
        <v>9874945.9999999981</v>
      </c>
      <c r="I162" s="2">
        <v>9378048.459999999</v>
      </c>
      <c r="J162" s="2">
        <v>3358424.6399999997</v>
      </c>
      <c r="K162" s="2">
        <v>59828249.240000002</v>
      </c>
      <c r="L162" s="2"/>
      <c r="M162" t="str">
        <f t="shared" si="9"/>
        <v>insert into business_analytic.report.orenda values(2026, 1, '2021126400', 'Київ,Фора-282 Ентузіастів,7', NULL, 9268891.38, 'TO');</v>
      </c>
      <c r="N162" t="str">
        <f t="shared" si="10"/>
        <v>insert into business_analytic.report.orenda values(2026, 2, '2021126400', 'Київ,Фора-282 Ентузіастів,7', NULL, 8649146.87, 'TO');</v>
      </c>
      <c r="O162" t="str">
        <f t="shared" si="10"/>
        <v>insert into business_analytic.report.orenda values(2026, 3, '2021126400', 'Київ,Фора-282 Ентузіастів,7', NULL, 9749413.95, 'TO');</v>
      </c>
      <c r="P162" t="str">
        <f t="shared" si="11"/>
        <v>insert into business_analytic.report.orenda values(2026, 4, '2021126400', 'Київ,Фора-282 Ентузіастів,7', NULL, 9549377.94, 'TO');</v>
      </c>
      <c r="Q162" t="str">
        <f t="shared" si="12"/>
        <v>insert into business_analytic.report.orenda values(2026, 5, '2021126400', 'Київ,Фора-282 Ентузіастів,7', NULL, 9874946, 'TO');</v>
      </c>
    </row>
    <row r="163" spans="1:17" x14ac:dyDescent="0.3">
      <c r="A163" t="s">
        <v>21</v>
      </c>
      <c r="B163" t="s">
        <v>494</v>
      </c>
      <c r="C163" t="s">
        <v>780</v>
      </c>
      <c r="D163" s="2">
        <v>6502546.2999999998</v>
      </c>
      <c r="E163" s="2">
        <v>6008032.1799999997</v>
      </c>
      <c r="F163" s="2">
        <v>6787561.2800000003</v>
      </c>
      <c r="G163" s="2">
        <v>6962597.1299999999</v>
      </c>
      <c r="H163" s="2">
        <v>7250409.8199999994</v>
      </c>
      <c r="I163" s="2">
        <v>7060919.1200000001</v>
      </c>
      <c r="J163" s="2">
        <v>2627969.15</v>
      </c>
      <c r="K163" s="2">
        <v>43200034.979999989</v>
      </c>
      <c r="L163" s="2"/>
      <c r="M163" t="str">
        <f t="shared" si="9"/>
        <v>insert into business_analytic.report.orenda values(2026, 1, '2021126500', 'Буча,Фора-283 Склозаводська,10Б', NULL, 6502546.3, 'TO');</v>
      </c>
      <c r="N163" t="str">
        <f t="shared" si="10"/>
        <v>insert into business_analytic.report.orenda values(2026, 2, '2021126500', 'Буча,Фора-283 Склозаводська,10Б', NULL, 6008032.18, 'TO');</v>
      </c>
      <c r="O163" t="str">
        <f t="shared" si="10"/>
        <v>insert into business_analytic.report.orenda values(2026, 3, '2021126500', 'Буча,Фора-283 Склозаводська,10Б', NULL, 6787561.28, 'TO');</v>
      </c>
      <c r="P163" t="str">
        <f t="shared" si="11"/>
        <v>insert into business_analytic.report.orenda values(2026, 4, '2021126500', 'Буча,Фора-283 Склозаводська,10Б', NULL, 6962597.13, 'TO');</v>
      </c>
      <c r="Q163" t="str">
        <f t="shared" si="12"/>
        <v>insert into business_analytic.report.orenda values(2026, 5, '2021126500', 'Буча,Фора-283 Склозаводська,10Б', NULL, 7250409.82, 'TO');</v>
      </c>
    </row>
    <row r="164" spans="1:17" x14ac:dyDescent="0.3">
      <c r="A164" t="s">
        <v>179</v>
      </c>
      <c r="B164" t="s">
        <v>676</v>
      </c>
      <c r="C164" t="s">
        <v>781</v>
      </c>
      <c r="D164" s="2">
        <v>14940760.000000002</v>
      </c>
      <c r="E164" s="2">
        <v>14254822.349999998</v>
      </c>
      <c r="F164" s="2">
        <v>15714648.1</v>
      </c>
      <c r="G164" s="2">
        <v>15253243.370000001</v>
      </c>
      <c r="H164" s="2">
        <v>16427384.959999999</v>
      </c>
      <c r="I164" s="2">
        <v>15946256.43</v>
      </c>
      <c r="J164" s="2">
        <v>5614656.3200000003</v>
      </c>
      <c r="K164" s="2">
        <v>98151771.529999986</v>
      </c>
      <c r="L164" s="2"/>
      <c r="M164" t="str">
        <f t="shared" si="9"/>
        <v>insert into business_analytic.report.orenda values(2026, 1, '2021126600', 'Київ,Фора-284 Деревлянська,14', NULL, 14940760, 'TO');</v>
      </c>
      <c r="N164" t="str">
        <f t="shared" si="10"/>
        <v>insert into business_analytic.report.orenda values(2026, 2, '2021126600', 'Київ,Фора-284 Деревлянська,14', NULL, 14254822.35, 'TO');</v>
      </c>
      <c r="O164" t="str">
        <f t="shared" si="10"/>
        <v>insert into business_analytic.report.orenda values(2026, 3, '2021126600', 'Київ,Фора-284 Деревлянська,14', NULL, 15714648.1, 'TO');</v>
      </c>
      <c r="P164" t="str">
        <f t="shared" si="11"/>
        <v>insert into business_analytic.report.orenda values(2026, 4, '2021126600', 'Київ,Фора-284 Деревлянська,14', NULL, 15253243.37, 'TO');</v>
      </c>
      <c r="Q164" t="str">
        <f t="shared" si="12"/>
        <v>insert into business_analytic.report.orenda values(2026, 5, '2021126600', 'Київ,Фора-284 Деревлянська,14', NULL, 16427384.96, 'TO');</v>
      </c>
    </row>
    <row r="165" spans="1:17" x14ac:dyDescent="0.3">
      <c r="A165" t="s">
        <v>180</v>
      </c>
      <c r="B165" t="s">
        <v>495</v>
      </c>
      <c r="C165" t="s">
        <v>782</v>
      </c>
      <c r="D165" s="2">
        <v>11145761.829999998</v>
      </c>
      <c r="E165" s="2">
        <v>10438662.49</v>
      </c>
      <c r="F165" s="2">
        <v>11462485.549999999</v>
      </c>
      <c r="G165" s="2">
        <v>11181100.26</v>
      </c>
      <c r="H165" s="2">
        <v>12291424.539999999</v>
      </c>
      <c r="I165" s="2">
        <v>11857565.390000001</v>
      </c>
      <c r="J165" s="2">
        <v>4299876.3899999997</v>
      </c>
      <c r="K165" s="2">
        <v>72676876.450000003</v>
      </c>
      <c r="L165" s="2"/>
      <c r="M165" t="str">
        <f t="shared" si="9"/>
        <v>insert into business_analytic.report.orenda values(2026, 1, '2021126700', 'Київ,Фора-285 Єфремова,8А', NULL, 11145761.83, 'TO');</v>
      </c>
      <c r="N165" t="str">
        <f t="shared" si="10"/>
        <v>insert into business_analytic.report.orenda values(2026, 2, '2021126700', 'Київ,Фора-285 Єфремова,8А', NULL, 10438662.49, 'TO');</v>
      </c>
      <c r="O165" t="str">
        <f t="shared" si="10"/>
        <v>insert into business_analytic.report.orenda values(2026, 3, '2021126700', 'Київ,Фора-285 Єфремова,8А', NULL, 11462485.55, 'TO');</v>
      </c>
      <c r="P165" t="str">
        <f t="shared" si="11"/>
        <v>insert into business_analytic.report.orenda values(2026, 4, '2021126700', 'Київ,Фора-285 Єфремова,8А', NULL, 11181100.26, 'TO');</v>
      </c>
      <c r="Q165" t="str">
        <f t="shared" si="12"/>
        <v>insert into business_analytic.report.orenda values(2026, 5, '2021126700', 'Київ,Фора-285 Єфремова,8А', NULL, 12291424.54, 'TO');</v>
      </c>
    </row>
    <row r="166" spans="1:17" x14ac:dyDescent="0.3">
      <c r="A166" t="s">
        <v>181</v>
      </c>
      <c r="B166" t="s">
        <v>496</v>
      </c>
      <c r="C166" t="s">
        <v>783</v>
      </c>
      <c r="D166" s="2">
        <v>8873498.2699999996</v>
      </c>
      <c r="E166" s="2">
        <v>7607481.2999999998</v>
      </c>
      <c r="F166" s="2">
        <v>9415143.0800000001</v>
      </c>
      <c r="G166" s="2">
        <v>9389641.1399999987</v>
      </c>
      <c r="H166" s="2">
        <v>9832569.1100000013</v>
      </c>
      <c r="I166" s="2">
        <v>9373699.2199999988</v>
      </c>
      <c r="J166" s="2">
        <v>3277990.55</v>
      </c>
      <c r="K166" s="2">
        <v>57770022.669999994</v>
      </c>
      <c r="L166" s="2"/>
      <c r="M166" t="str">
        <f t="shared" si="9"/>
        <v>insert into business_analytic.report.orenda values(2026, 1, '2021126800', 'Київ,Фора-286 Бучми,6А', NULL, 8873498.27, 'TO');</v>
      </c>
      <c r="N166" t="str">
        <f t="shared" si="10"/>
        <v>insert into business_analytic.report.orenda values(2026, 2, '2021126800', 'Київ,Фора-286 Бучми,6А', NULL, 7607481.3, 'TO');</v>
      </c>
      <c r="O166" t="str">
        <f t="shared" si="10"/>
        <v>insert into business_analytic.report.orenda values(2026, 3, '2021126800', 'Київ,Фора-286 Бучми,6А', NULL, 9415143.08, 'TO');</v>
      </c>
      <c r="P166" t="str">
        <f t="shared" si="11"/>
        <v>insert into business_analytic.report.orenda values(2026, 4, '2021126800', 'Київ,Фора-286 Бучми,6А', NULL, 9389641.14, 'TO');</v>
      </c>
      <c r="Q166" t="str">
        <f t="shared" si="12"/>
        <v>insert into business_analytic.report.orenda values(2026, 5, '2021126800', 'Київ,Фора-286 Бучми,6А', NULL, 9832569.11, 'TO');</v>
      </c>
    </row>
    <row r="167" spans="1:17" s="3" customFormat="1" x14ac:dyDescent="0.3">
      <c r="A167" t="s">
        <v>333</v>
      </c>
      <c r="B167" t="s">
        <v>1033</v>
      </c>
      <c r="C167" t="s">
        <v>1034</v>
      </c>
      <c r="D167" s="2">
        <v>15639752.84</v>
      </c>
      <c r="E167" s="2">
        <v>12971205.639999999</v>
      </c>
      <c r="F167" s="2">
        <v>14779291.889999999</v>
      </c>
      <c r="G167" s="2">
        <v>16173466.819999998</v>
      </c>
      <c r="H167" s="2">
        <v>16690128.989999998</v>
      </c>
      <c r="I167" s="2">
        <v>13651192.709999999</v>
      </c>
      <c r="J167" s="2">
        <v>5288575.7699999996</v>
      </c>
      <c r="K167" s="2">
        <v>95193614.659999982</v>
      </c>
      <c r="L167" s="2"/>
      <c r="M167" t="str">
        <f t="shared" si="9"/>
        <v>insert into business_analytic.report.orenda values(2026, 1, '2021126900', 'Тараща,Фора-287 Хмельницького,6', NULL, 15639752.84, 'TO');</v>
      </c>
      <c r="N167" t="str">
        <f t="shared" si="10"/>
        <v>insert into business_analytic.report.orenda values(2026, 2, '2021126900', 'Тараща,Фора-287 Хмельницького,6', NULL, 12971205.64, 'TO');</v>
      </c>
      <c r="O167" t="str">
        <f t="shared" si="10"/>
        <v>insert into business_analytic.report.orenda values(2026, 3, '2021126900', 'Тараща,Фора-287 Хмельницького,6', NULL, 14779291.89, 'TO');</v>
      </c>
      <c r="P167" t="str">
        <f t="shared" si="11"/>
        <v>insert into business_analytic.report.orenda values(2026, 4, '2021126900', 'Тараща,Фора-287 Хмельницького,6', NULL, 16173466.82, 'TO');</v>
      </c>
      <c r="Q167" t="str">
        <f t="shared" si="12"/>
        <v>insert into business_analytic.report.orenda values(2026, 5, '2021126900', 'Тараща,Фора-287 Хмельницького,6', NULL, 16690128.99, 'TO');</v>
      </c>
    </row>
    <row r="168" spans="1:17" x14ac:dyDescent="0.3">
      <c r="A168" t="s">
        <v>182</v>
      </c>
      <c r="B168" t="s">
        <v>655</v>
      </c>
      <c r="C168" t="s">
        <v>780</v>
      </c>
      <c r="D168" s="2">
        <v>10083136.01</v>
      </c>
      <c r="E168" s="2">
        <v>9917835.9399999995</v>
      </c>
      <c r="F168" s="2">
        <v>11678200.860000001</v>
      </c>
      <c r="G168" s="2">
        <v>11502456.49</v>
      </c>
      <c r="H168" s="2">
        <v>12613143.179999998</v>
      </c>
      <c r="I168" s="2">
        <v>12688300.789999999</v>
      </c>
      <c r="J168" s="2">
        <v>4537474.25</v>
      </c>
      <c r="K168" s="2">
        <v>73020547.520000011</v>
      </c>
      <c r="L168" s="2"/>
      <c r="M168" t="str">
        <f t="shared" si="9"/>
        <v>insert into business_analytic.report.orenda values(2026, 1, '2021127000', 'Київ,Фора-288 Лук'янівська,1', NULL, 10083136.01, 'TO');</v>
      </c>
      <c r="N168" t="str">
        <f t="shared" si="10"/>
        <v>insert into business_analytic.report.orenda values(2026, 2, '2021127000', 'Київ,Фора-288 Лук'янівська,1', NULL, 9917835.94, 'TO');</v>
      </c>
      <c r="O168" t="str">
        <f t="shared" si="10"/>
        <v>insert into business_analytic.report.orenda values(2026, 3, '2021127000', 'Київ,Фора-288 Лук'янівська,1', NULL, 11678200.86, 'TO');</v>
      </c>
      <c r="P168" t="str">
        <f t="shared" si="11"/>
        <v>insert into business_analytic.report.orenda values(2026, 4, '2021127000', 'Київ,Фора-288 Лук'янівська,1', NULL, 11502456.49, 'TO');</v>
      </c>
      <c r="Q168" t="str">
        <f t="shared" si="12"/>
        <v>insert into business_analytic.report.orenda values(2026, 5, '2021127000', 'Київ,Фора-288 Лук'янівська,1', NULL, 12613143.18, 'TO');</v>
      </c>
    </row>
    <row r="169" spans="1:17" x14ac:dyDescent="0.3">
      <c r="A169" t="s">
        <v>22</v>
      </c>
      <c r="B169" t="s">
        <v>685</v>
      </c>
      <c r="C169" t="s">
        <v>784</v>
      </c>
      <c r="D169" s="2">
        <v>15805159.189999999</v>
      </c>
      <c r="E169" s="2">
        <v>15140867.24</v>
      </c>
      <c r="F169" s="2">
        <v>16303390.819999998</v>
      </c>
      <c r="G169" s="2">
        <v>16023768.35</v>
      </c>
      <c r="H169" s="2">
        <v>16776267.410000002</v>
      </c>
      <c r="I169" s="2">
        <v>15911593.73</v>
      </c>
      <c r="J169" s="2">
        <v>5928967.9699999997</v>
      </c>
      <c r="K169" s="2">
        <v>101890014.70999998</v>
      </c>
      <c r="L169" s="2"/>
      <c r="M169" t="str">
        <f t="shared" si="9"/>
        <v>insert into business_analytic.report.orenda values(2026, 1, '2021127100', 'Бровари,Фора-289 Незалежності,7', NULL, 15805159.19, 'TO');</v>
      </c>
      <c r="N169" t="str">
        <f t="shared" si="10"/>
        <v>insert into business_analytic.report.orenda values(2026, 2, '2021127100', 'Бровари,Фора-289 Незалежності,7', NULL, 15140867.24, 'TO');</v>
      </c>
      <c r="O169" t="str">
        <f t="shared" si="10"/>
        <v>insert into business_analytic.report.orenda values(2026, 3, '2021127100', 'Бровари,Фора-289 Незалежності,7', NULL, 16303390.82, 'TO');</v>
      </c>
      <c r="P169" t="str">
        <f t="shared" si="11"/>
        <v>insert into business_analytic.report.orenda values(2026, 4, '2021127100', 'Бровари,Фора-289 Незалежності,7', NULL, 16023768.35, 'TO');</v>
      </c>
      <c r="Q169" t="str">
        <f t="shared" si="12"/>
        <v>insert into business_analytic.report.orenda values(2026, 5, '2021127100', 'Бровари,Фора-289 Незалежності,7', NULL, 16776267.41, 'TO');</v>
      </c>
    </row>
    <row r="170" spans="1:17" x14ac:dyDescent="0.3">
      <c r="A170" t="s">
        <v>23</v>
      </c>
      <c r="B170" t="s">
        <v>653</v>
      </c>
      <c r="C170" t="s">
        <v>785</v>
      </c>
      <c r="D170" s="2">
        <v>13706582.390000001</v>
      </c>
      <c r="E170" s="2">
        <v>12716900.809999999</v>
      </c>
      <c r="F170" s="2">
        <v>14033667.359999999</v>
      </c>
      <c r="G170" s="2">
        <v>13652679.219999999</v>
      </c>
      <c r="H170" s="2">
        <v>14295152.749999998</v>
      </c>
      <c r="I170" s="2">
        <v>13727334.209999999</v>
      </c>
      <c r="J170" s="2">
        <v>5224002.3600000003</v>
      </c>
      <c r="K170" s="2">
        <v>87356319.100000009</v>
      </c>
      <c r="L170" s="2"/>
      <c r="M170" t="str">
        <f t="shared" si="9"/>
        <v>insert into business_analytic.report.orenda values(2026, 1, '2021127200', 'НовПетрівці,Фора-290 СвПокровськ,222,224', NULL, 13706582.39, 'TO');</v>
      </c>
      <c r="N170" t="str">
        <f t="shared" si="10"/>
        <v>insert into business_analytic.report.orenda values(2026, 2, '2021127200', 'НовПетрівці,Фора-290 СвПокровськ,222,224', NULL, 12716900.81, 'TO');</v>
      </c>
      <c r="O170" t="str">
        <f t="shared" si="10"/>
        <v>insert into business_analytic.report.orenda values(2026, 3, '2021127200', 'НовПетрівці,Фора-290 СвПокровськ,222,224', NULL, 14033667.36, 'TO');</v>
      </c>
      <c r="P170" t="str">
        <f t="shared" si="11"/>
        <v>insert into business_analytic.report.orenda values(2026, 4, '2021127200', 'НовПетрівці,Фора-290 СвПокровськ,222,224', NULL, 13652679.22, 'TO');</v>
      </c>
      <c r="Q170" t="str">
        <f t="shared" si="12"/>
        <v>insert into business_analytic.report.orenda values(2026, 5, '2021127200', 'НовПетрівці,Фора-290 СвПокровськ,222,224', NULL, 14295152.75, 'TO');</v>
      </c>
    </row>
    <row r="171" spans="1:17" x14ac:dyDescent="0.3">
      <c r="A171" t="s">
        <v>24</v>
      </c>
      <c r="B171" t="s">
        <v>659</v>
      </c>
      <c r="C171" t="s">
        <v>786</v>
      </c>
      <c r="D171" s="2">
        <v>16728184.779999999</v>
      </c>
      <c r="E171" s="2">
        <v>16176103.369999999</v>
      </c>
      <c r="F171" s="2">
        <v>18075175.540000003</v>
      </c>
      <c r="G171" s="2">
        <v>17231755.559999999</v>
      </c>
      <c r="H171" s="2">
        <v>17747243.600000001</v>
      </c>
      <c r="I171" s="2">
        <v>16631325.469999999</v>
      </c>
      <c r="J171" s="2">
        <v>6028140.2999999998</v>
      </c>
      <c r="K171" s="2">
        <v>108617928.62</v>
      </c>
      <c r="L171" s="2"/>
      <c r="M171" t="str">
        <f t="shared" si="9"/>
        <v>insert into business_analytic.report.orenda values(2026, 1, '2021127400', 'Київ,Фора-292 Гузара,28', NULL, 16728184.78, 'TO');</v>
      </c>
      <c r="N171" t="str">
        <f t="shared" si="10"/>
        <v>insert into business_analytic.report.orenda values(2026, 2, '2021127400', 'Київ,Фора-292 Гузара,28', NULL, 16176103.37, 'TO');</v>
      </c>
      <c r="O171" t="str">
        <f t="shared" si="10"/>
        <v>insert into business_analytic.report.orenda values(2026, 3, '2021127400', 'Київ,Фора-292 Гузара,28', NULL, 18075175.54, 'TO');</v>
      </c>
      <c r="P171" t="str">
        <f t="shared" si="11"/>
        <v>insert into business_analytic.report.orenda values(2026, 4, '2021127400', 'Київ,Фора-292 Гузара,28', NULL, 17231755.56, 'TO');</v>
      </c>
      <c r="Q171" t="str">
        <f t="shared" si="12"/>
        <v>insert into business_analytic.report.orenda values(2026, 5, '2021127400', 'Київ,Фора-292 Гузара,28', NULL, 17747243.6, 'TO');</v>
      </c>
    </row>
    <row r="172" spans="1:17" x14ac:dyDescent="0.3">
      <c r="A172" t="s">
        <v>25</v>
      </c>
      <c r="B172" t="s">
        <v>497</v>
      </c>
      <c r="C172" t="s">
        <v>785</v>
      </c>
      <c r="D172" s="2">
        <v>12893277.5</v>
      </c>
      <c r="E172" s="2">
        <v>11925230.149999999</v>
      </c>
      <c r="F172" s="2">
        <v>13304268.449999999</v>
      </c>
      <c r="G172" s="2">
        <v>13242603.200000001</v>
      </c>
      <c r="H172" s="2">
        <v>14797444.569999998</v>
      </c>
      <c r="I172" s="2">
        <v>14157205.720000001</v>
      </c>
      <c r="J172" s="2">
        <v>5602220.8599999994</v>
      </c>
      <c r="K172" s="2">
        <v>85922250.450000003</v>
      </c>
      <c r="L172" s="2"/>
      <c r="M172" t="str">
        <f t="shared" si="9"/>
        <v>insert into business_analytic.report.orenda values(2026, 1, '2021127600', 'Гора,Фора-293 Калинова,2', NULL, 12893277.5, 'TO');</v>
      </c>
      <c r="N172" t="str">
        <f t="shared" si="10"/>
        <v>insert into business_analytic.report.orenda values(2026, 2, '2021127600', 'Гора,Фора-293 Калинова,2', NULL, 11925230.15, 'TO');</v>
      </c>
      <c r="O172" t="str">
        <f t="shared" si="10"/>
        <v>insert into business_analytic.report.orenda values(2026, 3, '2021127600', 'Гора,Фора-293 Калинова,2', NULL, 13304268.45, 'TO');</v>
      </c>
      <c r="P172" t="str">
        <f t="shared" si="11"/>
        <v>insert into business_analytic.report.orenda values(2026, 4, '2021127600', 'Гора,Фора-293 Калинова,2', NULL, 13242603.2, 'TO');</v>
      </c>
      <c r="Q172" t="str">
        <f t="shared" si="12"/>
        <v>insert into business_analytic.report.orenda values(2026, 5, '2021127600', 'Гора,Фора-293 Калинова,2', NULL, 14797444.57, 'TO');</v>
      </c>
    </row>
    <row r="173" spans="1:17" x14ac:dyDescent="0.3">
      <c r="A173" t="s">
        <v>334</v>
      </c>
      <c r="B173" t="s">
        <v>1035</v>
      </c>
      <c r="C173" t="s">
        <v>1036</v>
      </c>
      <c r="D173" s="2">
        <v>11282540.880000001</v>
      </c>
      <c r="E173" s="2">
        <v>10825698.189999998</v>
      </c>
      <c r="F173" s="2">
        <v>11719535.209999999</v>
      </c>
      <c r="G173" s="2">
        <v>11098310.869999999</v>
      </c>
      <c r="H173" s="2">
        <v>11607528.359999999</v>
      </c>
      <c r="I173" s="2">
        <v>10891446.449999999</v>
      </c>
      <c r="J173" s="2">
        <v>4010771.3699999996</v>
      </c>
      <c r="K173" s="2">
        <v>71435831.329999998</v>
      </c>
      <c r="L173" s="2"/>
      <c r="M173" t="str">
        <f t="shared" si="9"/>
        <v>insert into business_analytic.report.orenda values(2026, 1, '2021127700', 'Крюківщина,Фора-294 Жулянська,1А', NULL, 11282540.88, 'TO');</v>
      </c>
      <c r="N173" t="str">
        <f t="shared" si="10"/>
        <v>insert into business_analytic.report.orenda values(2026, 2, '2021127700', 'Крюківщина,Фора-294 Жулянська,1А', NULL, 10825698.19, 'TO');</v>
      </c>
      <c r="O173" t="str">
        <f t="shared" si="10"/>
        <v>insert into business_analytic.report.orenda values(2026, 3, '2021127700', 'Крюківщина,Фора-294 Жулянська,1А', NULL, 11719535.21, 'TO');</v>
      </c>
      <c r="P173" t="str">
        <f t="shared" si="11"/>
        <v>insert into business_analytic.report.orenda values(2026, 4, '2021127700', 'Крюківщина,Фора-294 Жулянська,1А', NULL, 11098310.87, 'TO');</v>
      </c>
      <c r="Q173" t="str">
        <f t="shared" si="12"/>
        <v>insert into business_analytic.report.orenda values(2026, 5, '2021127700', 'Крюківщина,Фора-294 Жулянська,1А', NULL, 11607528.36, 'TO');</v>
      </c>
    </row>
    <row r="174" spans="1:17" x14ac:dyDescent="0.3">
      <c r="A174" t="s">
        <v>335</v>
      </c>
      <c r="B174" t="s">
        <v>1037</v>
      </c>
      <c r="C174" t="s">
        <v>1038</v>
      </c>
      <c r="D174" s="2">
        <v>15559846.419999996</v>
      </c>
      <c r="E174" s="2">
        <v>13867406.33</v>
      </c>
      <c r="F174" s="2">
        <v>15195134.970000001</v>
      </c>
      <c r="G174" s="2">
        <v>15679067.529999997</v>
      </c>
      <c r="H174" s="2">
        <v>16852031.93</v>
      </c>
      <c r="I174" s="2">
        <v>16142748.389999997</v>
      </c>
      <c r="J174" s="2">
        <v>6327504</v>
      </c>
      <c r="K174" s="2">
        <v>99623739.569999993</v>
      </c>
      <c r="L174" s="2"/>
      <c r="M174" t="str">
        <f t="shared" si="9"/>
        <v>insert into business_analytic.report.orenda values(2026, 1, '2021127800', 'Березань,Фора-296 Шевченків Шлях,140А', NULL, 15559846.42, 'TO');</v>
      </c>
      <c r="N174" t="str">
        <f t="shared" si="10"/>
        <v>insert into business_analytic.report.orenda values(2026, 2, '2021127800', 'Березань,Фора-296 Шевченків Шлях,140А', NULL, 13867406.33, 'TO');</v>
      </c>
      <c r="O174" t="str">
        <f t="shared" si="10"/>
        <v>insert into business_analytic.report.orenda values(2026, 3, '2021127800', 'Березань,Фора-296 Шевченків Шлях,140А', NULL, 15195134.97, 'TO');</v>
      </c>
      <c r="P174" t="str">
        <f t="shared" si="11"/>
        <v>insert into business_analytic.report.orenda values(2026, 4, '2021127800', 'Березань,Фора-296 Шевченків Шлях,140А', NULL, 15679067.53, 'TO');</v>
      </c>
      <c r="Q174" t="str">
        <f t="shared" si="12"/>
        <v>insert into business_analytic.report.orenda values(2026, 5, '2021127800', 'Березань,Фора-296 Шевченків Шлях,140А', NULL, 16852031.93, 'TO');</v>
      </c>
    </row>
    <row r="175" spans="1:17" x14ac:dyDescent="0.3">
      <c r="A175" t="s">
        <v>183</v>
      </c>
      <c r="B175" t="s">
        <v>498</v>
      </c>
      <c r="C175" t="s">
        <v>787</v>
      </c>
      <c r="D175" s="2">
        <v>8408381.459999999</v>
      </c>
      <c r="E175" s="2">
        <v>7549900.3999999994</v>
      </c>
      <c r="F175" s="2">
        <v>9387327.7599999998</v>
      </c>
      <c r="G175" s="2">
        <v>9515247.8099999987</v>
      </c>
      <c r="H175" s="2">
        <v>9879337.5500000007</v>
      </c>
      <c r="I175" s="2">
        <v>9624619.7899999991</v>
      </c>
      <c r="J175" s="2">
        <v>3558164.8699999996</v>
      </c>
      <c r="K175" s="2">
        <v>57922979.639999993</v>
      </c>
      <c r="L175" s="2"/>
      <c r="M175" t="str">
        <f t="shared" si="9"/>
        <v>insert into business_analytic.report.orenda values(2026, 1, '2021127900', 'Київ,Фора-297 Верхогляда,2А', NULL, 8408381.46, 'TO');</v>
      </c>
      <c r="N175" t="str">
        <f t="shared" si="10"/>
        <v>insert into business_analytic.report.orenda values(2026, 2, '2021127900', 'Київ,Фора-297 Верхогляда,2А', NULL, 7549900.4, 'TO');</v>
      </c>
      <c r="O175" t="str">
        <f t="shared" si="10"/>
        <v>insert into business_analytic.report.orenda values(2026, 3, '2021127900', 'Київ,Фора-297 Верхогляда,2А', NULL, 9387327.76, 'TO');</v>
      </c>
      <c r="P175" t="str">
        <f t="shared" si="11"/>
        <v>insert into business_analytic.report.orenda values(2026, 4, '2021127900', 'Київ,Фора-297 Верхогляда,2А', NULL, 9515247.81, 'TO');</v>
      </c>
      <c r="Q175" t="str">
        <f t="shared" si="12"/>
        <v>insert into business_analytic.report.orenda values(2026, 5, '2021127900', 'Київ,Фора-297 Верхогляда,2А', NULL, 9879337.55, 'TO');</v>
      </c>
    </row>
    <row r="176" spans="1:17" x14ac:dyDescent="0.3">
      <c r="A176" t="s">
        <v>336</v>
      </c>
      <c r="B176" t="s">
        <v>1039</v>
      </c>
      <c r="C176" t="s">
        <v>1040</v>
      </c>
      <c r="D176" s="2">
        <v>5495954.2799999993</v>
      </c>
      <c r="E176" s="2">
        <v>5117589.32</v>
      </c>
      <c r="F176" s="2">
        <v>5974700.0099999998</v>
      </c>
      <c r="G176" s="2">
        <v>6310958.04</v>
      </c>
      <c r="H176" s="2">
        <v>7026676.0799999991</v>
      </c>
      <c r="I176" s="2">
        <v>7061262.1499999994</v>
      </c>
      <c r="J176" s="2">
        <v>2582558.7799999998</v>
      </c>
      <c r="K176" s="2">
        <v>39569698.659999996</v>
      </c>
      <c r="L176" s="2"/>
      <c r="M176" t="str">
        <f t="shared" si="9"/>
        <v>insert into business_analytic.report.orenda values(2026, 1, '2021128000', 'Княжичі,Фора-298 Лагунової,74', NULL, 5495954.28, 'TO');</v>
      </c>
      <c r="N176" t="str">
        <f t="shared" si="10"/>
        <v>insert into business_analytic.report.orenda values(2026, 2, '2021128000', 'Княжичі,Фора-298 Лагунової,74', NULL, 5117589.32, 'TO');</v>
      </c>
      <c r="O176" t="str">
        <f t="shared" si="10"/>
        <v>insert into business_analytic.report.orenda values(2026, 3, '2021128000', 'Княжичі,Фора-298 Лагунової,74', NULL, 5974700.01, 'TO');</v>
      </c>
      <c r="P176" t="str">
        <f t="shared" si="11"/>
        <v>insert into business_analytic.report.orenda values(2026, 4, '2021128000', 'Княжичі,Фора-298 Лагунової,74', NULL, 6310958.04, 'TO');</v>
      </c>
      <c r="Q176" t="str">
        <f t="shared" si="12"/>
        <v>insert into business_analytic.report.orenda values(2026, 5, '2021128000', 'Княжичі,Фора-298 Лагунової,74', NULL, 7026676.08, 'TO');</v>
      </c>
    </row>
    <row r="177" spans="1:17" x14ac:dyDescent="0.3">
      <c r="A177" t="s">
        <v>337</v>
      </c>
      <c r="B177" t="s">
        <v>1041</v>
      </c>
      <c r="C177" t="s">
        <v>787</v>
      </c>
      <c r="D177" s="2">
        <v>16195971.209999997</v>
      </c>
      <c r="E177" s="2">
        <v>6653010.7300000004</v>
      </c>
      <c r="F177" s="2"/>
      <c r="G177" s="2"/>
      <c r="H177" s="2"/>
      <c r="I177" s="2"/>
      <c r="J177" s="2"/>
      <c r="K177" s="2">
        <v>22848981.940000001</v>
      </c>
      <c r="L177" s="2"/>
      <c r="M177" t="str">
        <f t="shared" si="9"/>
        <v>insert into business_analytic.report.orenda values(2026, 1, '2021128100', 'Боярка,Фора-299 Молодіжна,76А', NULL, 16195971.21, 'TO');</v>
      </c>
      <c r="N177" t="str">
        <f t="shared" si="10"/>
        <v>insert into business_analytic.report.orenda values(2026, 2, '2021128100', 'Боярка,Фора-299 Молодіжна,76А', NULL, 6653010.73, 'TO');</v>
      </c>
      <c r="O177" t="str">
        <f t="shared" si="10"/>
        <v>insert into business_analytic.report.orenda values(2026, 3, '2021128100', 'Боярка,Фора-299 Молодіжна,76А', NULL, 0, 'TO');</v>
      </c>
      <c r="P177" t="str">
        <f t="shared" si="11"/>
        <v>insert into business_analytic.report.orenda values(2026, 4, '2021128100', 'Боярка,Фора-299 Молодіжна,76А', NULL, 0, 'TO');</v>
      </c>
      <c r="Q177" t="str">
        <f t="shared" si="12"/>
        <v>insert into business_analytic.report.orenda values(2026, 5, '2021128100', 'Боярка,Фора-299 Молодіжна,76А', NULL, 0, 'TO');</v>
      </c>
    </row>
    <row r="178" spans="1:17" x14ac:dyDescent="0.3">
      <c r="A178" t="s">
        <v>26</v>
      </c>
      <c r="B178" t="s">
        <v>664</v>
      </c>
      <c r="C178" t="s">
        <v>788</v>
      </c>
      <c r="D178" s="2">
        <v>14812410.729999999</v>
      </c>
      <c r="E178" s="2">
        <v>12564975.389999999</v>
      </c>
      <c r="F178" s="2">
        <v>16054651.600000001</v>
      </c>
      <c r="G178" s="2">
        <v>15951858.389999999</v>
      </c>
      <c r="H178" s="2">
        <v>18143153.930000003</v>
      </c>
      <c r="I178" s="2">
        <v>18711728.299999997</v>
      </c>
      <c r="J178" s="2">
        <v>6878549.1699999999</v>
      </c>
      <c r="K178" s="2">
        <v>103117327.50999999</v>
      </c>
      <c r="L178" s="2"/>
      <c r="M178" t="str">
        <f t="shared" si="9"/>
        <v>insert into business_analytic.report.orenda values(2026, 1, '2021128200', 'Зазим'я,Фора-300 Лісова,55', NULL, 14812410.73, 'TO');</v>
      </c>
      <c r="N178" t="str">
        <f t="shared" si="10"/>
        <v>insert into business_analytic.report.orenda values(2026, 2, '2021128200', 'Зазим'я,Фора-300 Лісова,55', NULL, 12564975.39, 'TO');</v>
      </c>
      <c r="O178" t="str">
        <f t="shared" si="10"/>
        <v>insert into business_analytic.report.orenda values(2026, 3, '2021128200', 'Зазим'я,Фора-300 Лісова,55', NULL, 16054651.6, 'TO');</v>
      </c>
      <c r="P178" t="str">
        <f t="shared" si="11"/>
        <v>insert into business_analytic.report.orenda values(2026, 4, '2021128200', 'Зазим'я,Фора-300 Лісова,55', NULL, 15951858.39, 'TO');</v>
      </c>
      <c r="Q178" t="str">
        <f t="shared" si="12"/>
        <v>insert into business_analytic.report.orenda values(2026, 5, '2021128200', 'Зазим'я,Фора-300 Лісова,55', NULL, 18143153.93, 'TO');</v>
      </c>
    </row>
    <row r="179" spans="1:17" x14ac:dyDescent="0.3">
      <c r="A179" t="s">
        <v>27</v>
      </c>
      <c r="B179" t="s">
        <v>499</v>
      </c>
      <c r="C179" t="s">
        <v>789</v>
      </c>
      <c r="D179" s="2">
        <v>10008076.689999999</v>
      </c>
      <c r="E179" s="2">
        <v>8859474.5</v>
      </c>
      <c r="F179" s="2">
        <v>10407441.49</v>
      </c>
      <c r="G179" s="2">
        <v>11118411.069999998</v>
      </c>
      <c r="H179" s="2">
        <v>11425977.939999999</v>
      </c>
      <c r="I179" s="2">
        <v>11536079.57</v>
      </c>
      <c r="J179" s="2">
        <v>4420557.46</v>
      </c>
      <c r="K179" s="2">
        <v>67776018.719999999</v>
      </c>
      <c r="L179" s="2"/>
      <c r="M179" t="str">
        <f t="shared" si="9"/>
        <v>insert into business_analytic.report.orenda values(2026, 1, '2021128300', 'Ставище,Фора-303 Паркова,4', NULL, 10008076.69, 'TO');</v>
      </c>
      <c r="N179" t="str">
        <f t="shared" si="10"/>
        <v>insert into business_analytic.report.orenda values(2026, 2, '2021128300', 'Ставище,Фора-303 Паркова,4', NULL, 8859474.5, 'TO');</v>
      </c>
      <c r="O179" t="str">
        <f t="shared" si="10"/>
        <v>insert into business_analytic.report.orenda values(2026, 3, '2021128300', 'Ставище,Фора-303 Паркова,4', NULL, 10407441.49, 'TO');</v>
      </c>
      <c r="P179" t="str">
        <f t="shared" si="11"/>
        <v>insert into business_analytic.report.orenda values(2026, 4, '2021128300', 'Ставище,Фора-303 Паркова,4', NULL, 11118411.07, 'TO');</v>
      </c>
      <c r="Q179" t="str">
        <f t="shared" si="12"/>
        <v>insert into business_analytic.report.orenda values(2026, 5, '2021128300', 'Ставище,Фора-303 Паркова,4', NULL, 11425977.94, 'TO');</v>
      </c>
    </row>
    <row r="180" spans="1:17" x14ac:dyDescent="0.3">
      <c r="A180" t="s">
        <v>184</v>
      </c>
      <c r="B180" t="s">
        <v>500</v>
      </c>
      <c r="C180" t="s">
        <v>790</v>
      </c>
      <c r="D180" s="2">
        <v>4709869.4800000004</v>
      </c>
      <c r="E180" s="2">
        <v>4628516.919999999</v>
      </c>
      <c r="F180" s="2">
        <v>5582611.3299999991</v>
      </c>
      <c r="G180" s="2">
        <v>4928497.8599999994</v>
      </c>
      <c r="H180" s="2">
        <v>5456429.2300000004</v>
      </c>
      <c r="I180" s="2">
        <v>5059068.22</v>
      </c>
      <c r="J180" s="2">
        <v>1774590.8499999999</v>
      </c>
      <c r="K180" s="2">
        <v>32139583.890000001</v>
      </c>
      <c r="L180" s="2"/>
      <c r="M180" t="str">
        <f t="shared" si="9"/>
        <v>insert into business_analytic.report.orenda values(2026, 1, '2021128400', 'Київ,Фора-304 Заболотного,128А', NULL, 4709869.48, 'TO');</v>
      </c>
      <c r="N180" t="str">
        <f t="shared" si="10"/>
        <v>insert into business_analytic.report.orenda values(2026, 2, '2021128400', 'Київ,Фора-304 Заболотного,128А', NULL, 4628516.92, 'TO');</v>
      </c>
      <c r="O180" t="str">
        <f t="shared" si="10"/>
        <v>insert into business_analytic.report.orenda values(2026, 3, '2021128400', 'Київ,Фора-304 Заболотного,128А', NULL, 5582611.33, 'TO');</v>
      </c>
      <c r="P180" t="str">
        <f t="shared" si="11"/>
        <v>insert into business_analytic.report.orenda values(2026, 4, '2021128400', 'Київ,Фора-304 Заболотного,128А', NULL, 4928497.86, 'TO');</v>
      </c>
      <c r="Q180" t="str">
        <f t="shared" si="12"/>
        <v>insert into business_analytic.report.orenda values(2026, 5, '2021128400', 'Київ,Фора-304 Заболотного,128А', NULL, 5456429.23, 'TO');</v>
      </c>
    </row>
    <row r="181" spans="1:17" s="3" customFormat="1" x14ac:dyDescent="0.3">
      <c r="A181" t="s">
        <v>28</v>
      </c>
      <c r="B181" t="s">
        <v>501</v>
      </c>
      <c r="C181" t="s">
        <v>791</v>
      </c>
      <c r="D181" s="2">
        <v>15804871.109999999</v>
      </c>
      <c r="E181" s="2">
        <v>14726956.469999999</v>
      </c>
      <c r="F181" s="2">
        <v>16908778.050000001</v>
      </c>
      <c r="G181" s="2">
        <v>16422639.049999997</v>
      </c>
      <c r="H181" s="2">
        <v>17573683.690000001</v>
      </c>
      <c r="I181" s="2">
        <v>16443195.01</v>
      </c>
      <c r="J181" s="2">
        <v>5808653.9399999995</v>
      </c>
      <c r="K181" s="2">
        <v>103688777.32000001</v>
      </c>
      <c r="L181" s="2"/>
      <c r="M181" t="str">
        <f t="shared" si="9"/>
        <v>insert into business_analytic.report.orenda values(2026, 1, '2021128500', 'Ірпінь,Фора-305 Центральна,29', NULL, 15804871.11, 'TO');</v>
      </c>
      <c r="N181" t="str">
        <f t="shared" si="10"/>
        <v>insert into business_analytic.report.orenda values(2026, 2, '2021128500', 'Ірпінь,Фора-305 Центральна,29', NULL, 14726956.47, 'TO');</v>
      </c>
      <c r="O181" t="str">
        <f t="shared" si="10"/>
        <v>insert into business_analytic.report.orenda values(2026, 3, '2021128500', 'Ірпінь,Фора-305 Центральна,29', NULL, 16908778.05, 'TO');</v>
      </c>
      <c r="P181" t="str">
        <f t="shared" si="11"/>
        <v>insert into business_analytic.report.orenda values(2026, 4, '2021128500', 'Ірпінь,Фора-305 Центральна,29', NULL, 16422639.05, 'TO');</v>
      </c>
      <c r="Q181" t="str">
        <f t="shared" si="12"/>
        <v>insert into business_analytic.report.orenda values(2026, 5, '2021128500', 'Ірпінь,Фора-305 Центральна,29', NULL, 17573683.69, 'TO');</v>
      </c>
    </row>
    <row r="182" spans="1:17" s="3" customFormat="1" x14ac:dyDescent="0.3">
      <c r="A182" t="s">
        <v>29</v>
      </c>
      <c r="B182" t="s">
        <v>502</v>
      </c>
      <c r="C182" t="s">
        <v>792</v>
      </c>
      <c r="D182" s="2">
        <v>14863437.66</v>
      </c>
      <c r="E182" s="2">
        <v>14058178.889999999</v>
      </c>
      <c r="F182" s="2">
        <v>15188923.09</v>
      </c>
      <c r="G182" s="2">
        <v>14563466.569999998</v>
      </c>
      <c r="H182" s="2">
        <v>14577689.699999999</v>
      </c>
      <c r="I182" s="2">
        <v>13934138.699999999</v>
      </c>
      <c r="J182" s="2">
        <v>5149395.12</v>
      </c>
      <c r="K182" s="2">
        <v>92335229.729999989</v>
      </c>
      <c r="L182" s="2"/>
      <c r="M182" t="str">
        <f t="shared" si="9"/>
        <v>insert into business_analytic.report.orenda values(2026, 1, '2021128600', 'Київ,Фора-306 Тичини,15А', NULL, 14863437.66, 'TO');</v>
      </c>
      <c r="N182" t="str">
        <f t="shared" si="10"/>
        <v>insert into business_analytic.report.orenda values(2026, 2, '2021128600', 'Київ,Фора-306 Тичини,15А', NULL, 14058178.89, 'TO');</v>
      </c>
      <c r="O182" t="str">
        <f t="shared" si="10"/>
        <v>insert into business_analytic.report.orenda values(2026, 3, '2021128600', 'Київ,Фора-306 Тичини,15А', NULL, 15188923.09, 'TO');</v>
      </c>
      <c r="P182" t="str">
        <f t="shared" si="11"/>
        <v>insert into business_analytic.report.orenda values(2026, 4, '2021128600', 'Київ,Фора-306 Тичини,15А', NULL, 14563466.57, 'TO');</v>
      </c>
      <c r="Q182" t="str">
        <f t="shared" si="12"/>
        <v>insert into business_analytic.report.orenda values(2026, 5, '2021128600', 'Київ,Фора-306 Тичини,15А', NULL, 14577689.7, 'TO');</v>
      </c>
    </row>
    <row r="183" spans="1:17" x14ac:dyDescent="0.3">
      <c r="A183" t="s">
        <v>185</v>
      </c>
      <c r="B183" t="s">
        <v>503</v>
      </c>
      <c r="C183" t="s">
        <v>793</v>
      </c>
      <c r="D183" s="2">
        <v>13399315.33</v>
      </c>
      <c r="E183" s="2">
        <v>12610738.75</v>
      </c>
      <c r="F183" s="2">
        <v>13427220.33</v>
      </c>
      <c r="G183" s="2">
        <v>13272705.979999999</v>
      </c>
      <c r="H183" s="2">
        <v>13974078.789999999</v>
      </c>
      <c r="I183" s="2">
        <v>12813340.619999999</v>
      </c>
      <c r="J183" s="2">
        <v>4633191.34</v>
      </c>
      <c r="K183" s="2">
        <v>84130591.139999986</v>
      </c>
      <c r="L183" s="2"/>
      <c r="M183" t="str">
        <f t="shared" si="9"/>
        <v>insert into business_analytic.report.orenda values(2026, 1, '2021128800', 'Київ,Фора-308 Пулюя,5', NULL, 13399315.33, 'TO');</v>
      </c>
      <c r="N183" t="str">
        <f t="shared" si="10"/>
        <v>insert into business_analytic.report.orenda values(2026, 2, '2021128800', 'Київ,Фора-308 Пулюя,5', NULL, 12610738.75, 'TO');</v>
      </c>
      <c r="O183" t="str">
        <f t="shared" si="10"/>
        <v>insert into business_analytic.report.orenda values(2026, 3, '2021128800', 'Київ,Фора-308 Пулюя,5', NULL, 13427220.33, 'TO');</v>
      </c>
      <c r="P183" t="str">
        <f t="shared" si="11"/>
        <v>insert into business_analytic.report.orenda values(2026, 4, '2021128800', 'Київ,Фора-308 Пулюя,5', NULL, 13272705.98, 'TO');</v>
      </c>
      <c r="Q183" t="str">
        <f t="shared" si="12"/>
        <v>insert into business_analytic.report.orenda values(2026, 5, '2021128800', 'Київ,Фора-308 Пулюя,5', NULL, 13974078.79, 'TO');</v>
      </c>
    </row>
    <row r="184" spans="1:17" x14ac:dyDescent="0.3">
      <c r="A184" t="s">
        <v>338</v>
      </c>
      <c r="B184" t="s">
        <v>1042</v>
      </c>
      <c r="C184" t="s">
        <v>1043</v>
      </c>
      <c r="D184" s="2">
        <v>15847582.890000001</v>
      </c>
      <c r="E184" s="2">
        <v>14997882.829999998</v>
      </c>
      <c r="F184" s="2">
        <v>16871243.749999996</v>
      </c>
      <c r="G184" s="2">
        <v>16196568.1</v>
      </c>
      <c r="H184" s="2">
        <v>16006514.749999998</v>
      </c>
      <c r="I184" s="2">
        <v>15020198.799999999</v>
      </c>
      <c r="J184" s="2">
        <v>5416731.21</v>
      </c>
      <c r="K184" s="2">
        <v>100356722.33000001</v>
      </c>
      <c r="L184" s="2"/>
      <c r="M184" t="str">
        <f t="shared" si="9"/>
        <v>insert into business_analytic.report.orenda values(2026, 1, '2021128900', 'Київ,Фора-309 Чорних Запорожців,28', NULL, 15847582.89, 'TO');</v>
      </c>
      <c r="N184" t="str">
        <f t="shared" si="10"/>
        <v>insert into business_analytic.report.orenda values(2026, 2, '2021128900', 'Київ,Фора-309 Чорних Запорожців,28', NULL, 14997882.83, 'TO');</v>
      </c>
      <c r="O184" t="str">
        <f t="shared" si="10"/>
        <v>insert into business_analytic.report.orenda values(2026, 3, '2021128900', 'Київ,Фора-309 Чорних Запорожців,28', NULL, 16871243.75, 'TO');</v>
      </c>
      <c r="P184" t="str">
        <f t="shared" si="11"/>
        <v>insert into business_analytic.report.orenda values(2026, 4, '2021128900', 'Київ,Фора-309 Чорних Запорожців,28', NULL, 16196568.1, 'TO');</v>
      </c>
      <c r="Q184" t="str">
        <f t="shared" si="12"/>
        <v>insert into business_analytic.report.orenda values(2026, 5, '2021128900', 'Київ,Фора-309 Чорних Запорожців,28', NULL, 16006514.75, 'TO');</v>
      </c>
    </row>
    <row r="185" spans="1:17" x14ac:dyDescent="0.3">
      <c r="A185" t="s">
        <v>30</v>
      </c>
      <c r="B185" t="s">
        <v>504</v>
      </c>
      <c r="C185" t="s">
        <v>794</v>
      </c>
      <c r="D185" s="2">
        <v>12995709.73</v>
      </c>
      <c r="E185" s="2">
        <v>11897024.35</v>
      </c>
      <c r="F185" s="2">
        <v>14024139.649999999</v>
      </c>
      <c r="G185" s="2">
        <v>14072468.4</v>
      </c>
      <c r="H185" s="2">
        <v>16022639.709999999</v>
      </c>
      <c r="I185" s="2">
        <v>15760493.27</v>
      </c>
      <c r="J185" s="2">
        <v>5649788.1099999994</v>
      </c>
      <c r="K185" s="2">
        <v>90422263.219999999</v>
      </c>
      <c r="L185" s="2"/>
      <c r="M185" t="str">
        <f t="shared" si="9"/>
        <v>insert into business_analytic.report.orenda values(2026, 1, '2021129000', 'Клавдієво-Тарасов,Фора-310 Центральна,2Ж', NULL, 12995709.73, 'TO');</v>
      </c>
      <c r="N185" t="str">
        <f t="shared" si="10"/>
        <v>insert into business_analytic.report.orenda values(2026, 2, '2021129000', 'Клавдієво-Тарасов,Фора-310 Центральна,2Ж', NULL, 11897024.35, 'TO');</v>
      </c>
      <c r="O185" t="str">
        <f t="shared" si="10"/>
        <v>insert into business_analytic.report.orenda values(2026, 3, '2021129000', 'Клавдієво-Тарасов,Фора-310 Центральна,2Ж', NULL, 14024139.65, 'TO');</v>
      </c>
      <c r="P185" t="str">
        <f t="shared" si="11"/>
        <v>insert into business_analytic.report.orenda values(2026, 4, '2021129000', 'Клавдієво-Тарасов,Фора-310 Центральна,2Ж', NULL, 14072468.4, 'TO');</v>
      </c>
      <c r="Q185" t="str">
        <f t="shared" si="12"/>
        <v>insert into business_analytic.report.orenda values(2026, 5, '2021129000', 'Клавдієво-Тарасов,Фора-310 Центральна,2Ж', NULL, 16022639.71, 'TO');</v>
      </c>
    </row>
    <row r="186" spans="1:17" x14ac:dyDescent="0.3">
      <c r="A186" t="s">
        <v>31</v>
      </c>
      <c r="B186" t="s">
        <v>668</v>
      </c>
      <c r="C186" t="s">
        <v>795</v>
      </c>
      <c r="D186" s="2">
        <v>13291306.089999998</v>
      </c>
      <c r="E186" s="2">
        <v>12729489.140000001</v>
      </c>
      <c r="F186" s="2">
        <v>14318582.559999999</v>
      </c>
      <c r="G186" s="2">
        <v>14934487.59</v>
      </c>
      <c r="H186" s="2">
        <v>17788595.25</v>
      </c>
      <c r="I186" s="2">
        <v>16155543.689999999</v>
      </c>
      <c r="J186" s="2">
        <v>5943878.2299999995</v>
      </c>
      <c r="K186" s="2">
        <v>95161882.549999997</v>
      </c>
      <c r="L186" s="2"/>
      <c r="M186" t="str">
        <f t="shared" si="9"/>
        <v>insert into business_analytic.report.orenda values(2026, 1, '2021129100', 'Козин,Фора-311 Обухівське Шосе,39', NULL, 13291306.09, 'TO');</v>
      </c>
      <c r="N186" t="str">
        <f t="shared" si="10"/>
        <v>insert into business_analytic.report.orenda values(2026, 2, '2021129100', 'Козин,Фора-311 Обухівське Шосе,39', NULL, 12729489.14, 'TO');</v>
      </c>
      <c r="O186" t="str">
        <f t="shared" si="10"/>
        <v>insert into business_analytic.report.orenda values(2026, 3, '2021129100', 'Козин,Фора-311 Обухівське Шосе,39', NULL, 14318582.56, 'TO');</v>
      </c>
      <c r="P186" t="str">
        <f t="shared" si="11"/>
        <v>insert into business_analytic.report.orenda values(2026, 4, '2021129100', 'Козин,Фора-311 Обухівське Шосе,39', NULL, 14934487.59, 'TO');</v>
      </c>
      <c r="Q186" t="str">
        <f t="shared" si="12"/>
        <v>insert into business_analytic.report.orenda values(2026, 5, '2021129100', 'Козин,Фора-311 Обухівське Шосе,39', NULL, 17788595.25, 'TO');</v>
      </c>
    </row>
    <row r="187" spans="1:17" x14ac:dyDescent="0.3">
      <c r="A187" t="s">
        <v>339</v>
      </c>
      <c r="B187" t="s">
        <v>1044</v>
      </c>
      <c r="C187" t="s">
        <v>1045</v>
      </c>
      <c r="D187" s="2">
        <v>14258274.659999998</v>
      </c>
      <c r="E187" s="2">
        <v>13288790.679999998</v>
      </c>
      <c r="F187" s="2">
        <v>15111723.4</v>
      </c>
      <c r="G187" s="2">
        <v>15246025.58</v>
      </c>
      <c r="H187" s="2">
        <v>17246647.609999999</v>
      </c>
      <c r="I187" s="2">
        <v>16191088.52</v>
      </c>
      <c r="J187" s="2">
        <v>6372064.3299999991</v>
      </c>
      <c r="K187" s="2">
        <v>97714614.780000001</v>
      </c>
      <c r="L187" s="2"/>
      <c r="M187" t="str">
        <f t="shared" si="9"/>
        <v>insert into business_analytic.report.orenda values(2026, 1, '2021129200', 'Щасливе,Фора-312 Харківське Шосе,15', NULL, 14258274.66, 'TO');</v>
      </c>
      <c r="N187" t="str">
        <f t="shared" si="10"/>
        <v>insert into business_analytic.report.orenda values(2026, 2, '2021129200', 'Щасливе,Фора-312 Харківське Шосе,15', NULL, 13288790.68, 'TO');</v>
      </c>
      <c r="O187" t="str">
        <f t="shared" si="10"/>
        <v>insert into business_analytic.report.orenda values(2026, 3, '2021129200', 'Щасливе,Фора-312 Харківське Шосе,15', NULL, 15111723.4, 'TO');</v>
      </c>
      <c r="P187" t="str">
        <f t="shared" si="11"/>
        <v>insert into business_analytic.report.orenda values(2026, 4, '2021129200', 'Щасливе,Фора-312 Харківське Шосе,15', NULL, 15246025.58, 'TO');</v>
      </c>
      <c r="Q187" t="str">
        <f t="shared" si="12"/>
        <v>insert into business_analytic.report.orenda values(2026, 5, '2021129200', 'Щасливе,Фора-312 Харківське Шосе,15', NULL, 17246647.61, 'TO');</v>
      </c>
    </row>
    <row r="188" spans="1:17" x14ac:dyDescent="0.3">
      <c r="A188" t="s">
        <v>340</v>
      </c>
      <c r="B188" t="s">
        <v>1046</v>
      </c>
      <c r="C188" t="s">
        <v>1047</v>
      </c>
      <c r="D188" s="2">
        <v>9108808.4800000004</v>
      </c>
      <c r="E188" s="2">
        <v>8507280.3499999996</v>
      </c>
      <c r="F188" s="2">
        <v>10348998.41</v>
      </c>
      <c r="G188" s="2">
        <v>10299261.34</v>
      </c>
      <c r="H188" s="2">
        <v>11068004.25</v>
      </c>
      <c r="I188" s="2">
        <v>10141093.16</v>
      </c>
      <c r="J188" s="2">
        <v>3781490.2399999998</v>
      </c>
      <c r="K188" s="2">
        <v>63254936.229999997</v>
      </c>
      <c r="L188" s="2"/>
      <c r="M188" t="str">
        <f t="shared" si="9"/>
        <v>insert into business_analytic.report.orenda values(2026, 1, '2021129300', 'СофБорщагівка,Фора-313 Яблунева,13А', NULL, 9108808.48, 'TO');</v>
      </c>
      <c r="N188" t="str">
        <f t="shared" si="10"/>
        <v>insert into business_analytic.report.orenda values(2026, 2, '2021129300', 'СофБорщагівка,Фора-313 Яблунева,13А', NULL, 8507280.35, 'TO');</v>
      </c>
      <c r="O188" t="str">
        <f t="shared" si="10"/>
        <v>insert into business_analytic.report.orenda values(2026, 3, '2021129300', 'СофБорщагівка,Фора-313 Яблунева,13А', NULL, 10348998.41, 'TO');</v>
      </c>
      <c r="P188" t="str">
        <f t="shared" si="11"/>
        <v>insert into business_analytic.report.orenda values(2026, 4, '2021129300', 'СофБорщагівка,Фора-313 Яблунева,13А', NULL, 10299261.34, 'TO');</v>
      </c>
      <c r="Q188" t="str">
        <f t="shared" si="12"/>
        <v>insert into business_analytic.report.orenda values(2026, 5, '2021129300', 'СофБорщагівка,Фора-313 Яблунева,13А', NULL, 11068004.25, 'TO');</v>
      </c>
    </row>
    <row r="189" spans="1:17" x14ac:dyDescent="0.3">
      <c r="A189" t="s">
        <v>32</v>
      </c>
      <c r="B189" t="s">
        <v>665</v>
      </c>
      <c r="C189" t="s">
        <v>796</v>
      </c>
      <c r="D189" s="2">
        <v>19624769.539999999</v>
      </c>
      <c r="E189" s="2">
        <v>18065777.039999999</v>
      </c>
      <c r="F189" s="2">
        <v>21387248.669999998</v>
      </c>
      <c r="G189" s="2">
        <v>21501135.18</v>
      </c>
      <c r="H189" s="2">
        <v>25101849.219999999</v>
      </c>
      <c r="I189" s="2">
        <v>24359469.920000002</v>
      </c>
      <c r="J189" s="2">
        <v>9808563.370000001</v>
      </c>
      <c r="K189" s="2">
        <v>139848812.94</v>
      </c>
      <c r="L189" s="2"/>
      <c r="M189" t="str">
        <f t="shared" si="9"/>
        <v>insert into business_analytic.report.orenda values(2026, 1, '2021129400', 'Мила,Фора-314 Комарова,44В', NULL, 19624769.54, 'TO');</v>
      </c>
      <c r="N189" t="str">
        <f t="shared" si="10"/>
        <v>insert into business_analytic.report.orenda values(2026, 2, '2021129400', 'Мила,Фора-314 Комарова,44В', NULL, 18065777.04, 'TO');</v>
      </c>
      <c r="O189" t="str">
        <f t="shared" si="10"/>
        <v>insert into business_analytic.report.orenda values(2026, 3, '2021129400', 'Мила,Фора-314 Комарова,44В', NULL, 21387248.67, 'TO');</v>
      </c>
      <c r="P189" t="str">
        <f t="shared" si="11"/>
        <v>insert into business_analytic.report.orenda values(2026, 4, '2021129400', 'Мила,Фора-314 Комарова,44В', NULL, 21501135.18, 'TO');</v>
      </c>
      <c r="Q189" t="str">
        <f t="shared" si="12"/>
        <v>insert into business_analytic.report.orenda values(2026, 5, '2021129400', 'Мила,Фора-314 Комарова,44В', NULL, 25101849.22, 'TO');</v>
      </c>
    </row>
    <row r="190" spans="1:17" x14ac:dyDescent="0.3">
      <c r="A190" t="s">
        <v>33</v>
      </c>
      <c r="B190" t="s">
        <v>505</v>
      </c>
      <c r="C190" t="s">
        <v>797</v>
      </c>
      <c r="D190" s="2">
        <v>9543120.3300000001</v>
      </c>
      <c r="E190" s="2">
        <v>7902369.04</v>
      </c>
      <c r="F190" s="2">
        <v>9683969.8100000005</v>
      </c>
      <c r="G190" s="2">
        <v>10157905.049999999</v>
      </c>
      <c r="H190" s="2">
        <v>10785582.639999999</v>
      </c>
      <c r="I190" s="2">
        <v>10973515.83</v>
      </c>
      <c r="J190" s="2">
        <v>4355255.2300000004</v>
      </c>
      <c r="K190" s="2">
        <v>63401717.929999992</v>
      </c>
      <c r="L190" s="2"/>
      <c r="M190" t="str">
        <f t="shared" si="9"/>
        <v>insert into business_analytic.report.orenda values(2026, 1, '2021129500', 'Калита,Фора-315 Миру,45', NULL, 9543120.33, 'TO');</v>
      </c>
      <c r="N190" t="str">
        <f t="shared" si="10"/>
        <v>insert into business_analytic.report.orenda values(2026, 2, '2021129500', 'Калита,Фора-315 Миру,45', NULL, 7902369.04, 'TO');</v>
      </c>
      <c r="O190" t="str">
        <f t="shared" si="10"/>
        <v>insert into business_analytic.report.orenda values(2026, 3, '2021129500', 'Калита,Фора-315 Миру,45', NULL, 9683969.81, 'TO');</v>
      </c>
      <c r="P190" t="str">
        <f t="shared" si="11"/>
        <v>insert into business_analytic.report.orenda values(2026, 4, '2021129500', 'Калита,Фора-315 Миру,45', NULL, 10157905.05, 'TO');</v>
      </c>
      <c r="Q190" t="str">
        <f t="shared" si="12"/>
        <v>insert into business_analytic.report.orenda values(2026, 5, '2021129500', 'Калита,Фора-315 Миру,45', NULL, 10785582.64, 'TO');</v>
      </c>
    </row>
    <row r="191" spans="1:17" x14ac:dyDescent="0.3">
      <c r="A191" t="s">
        <v>341</v>
      </c>
      <c r="B191" t="s">
        <v>1048</v>
      </c>
      <c r="C191" t="s">
        <v>1049</v>
      </c>
      <c r="D191" s="2">
        <v>10076585.449999999</v>
      </c>
      <c r="E191" s="2">
        <v>9677566.9099999983</v>
      </c>
      <c r="F191" s="2">
        <v>11091956.58</v>
      </c>
      <c r="G191" s="2">
        <v>11527607.959999999</v>
      </c>
      <c r="H191" s="2">
        <v>13128566.929999998</v>
      </c>
      <c r="I191" s="2">
        <v>12865637.09</v>
      </c>
      <c r="J191" s="2">
        <v>4848476.97</v>
      </c>
      <c r="K191" s="2">
        <v>73216397.890000001</v>
      </c>
      <c r="L191" s="2"/>
      <c r="M191" t="str">
        <f t="shared" si="9"/>
        <v>insert into business_analytic.report.orenda values(2026, 1, '2021129600', 'Погреби,Фора-316 Соборна,2', NULL, 10076585.45, 'TO');</v>
      </c>
      <c r="N191" t="str">
        <f t="shared" si="10"/>
        <v>insert into business_analytic.report.orenda values(2026, 2, '2021129600', 'Погреби,Фора-316 Соборна,2', NULL, 9677566.91, 'TO');</v>
      </c>
      <c r="O191" t="str">
        <f t="shared" si="10"/>
        <v>insert into business_analytic.report.orenda values(2026, 3, '2021129600', 'Погреби,Фора-316 Соборна,2', NULL, 11091956.58, 'TO');</v>
      </c>
      <c r="P191" t="str">
        <f t="shared" si="11"/>
        <v>insert into business_analytic.report.orenda values(2026, 4, '2021129600', 'Погреби,Фора-316 Соборна,2', NULL, 11527607.96, 'TO');</v>
      </c>
      <c r="Q191" t="str">
        <f t="shared" si="12"/>
        <v>insert into business_analytic.report.orenda values(2026, 5, '2021129600', 'Погреби,Фора-316 Соборна,2', NULL, 13128566.93, 'TO');</v>
      </c>
    </row>
    <row r="192" spans="1:17" x14ac:dyDescent="0.3">
      <c r="A192" t="s">
        <v>342</v>
      </c>
      <c r="B192" t="s">
        <v>1050</v>
      </c>
      <c r="C192" t="s">
        <v>1051</v>
      </c>
      <c r="D192" s="2">
        <v>8350099.0100000007</v>
      </c>
      <c r="E192" s="2">
        <v>7302091.8799999999</v>
      </c>
      <c r="F192" s="2">
        <v>8910446.4900000002</v>
      </c>
      <c r="G192" s="2">
        <v>9724512.1899999995</v>
      </c>
      <c r="H192" s="2">
        <v>10454052.329999998</v>
      </c>
      <c r="I192" s="2">
        <v>10558432.449999999</v>
      </c>
      <c r="J192" s="2">
        <v>4265156.83</v>
      </c>
      <c r="K192" s="2">
        <v>59564791.179999992</v>
      </c>
      <c r="L192" s="2"/>
      <c r="M192" t="str">
        <f t="shared" si="9"/>
        <v>insert into business_analytic.report.orenda values(2026, 1, '2021129700', 'Гребінки,Фора-317 Київська,99', NULL, 8350099.01, 'TO');</v>
      </c>
      <c r="N192" t="str">
        <f t="shared" si="10"/>
        <v>insert into business_analytic.report.orenda values(2026, 2, '2021129700', 'Гребінки,Фора-317 Київська,99', NULL, 7302091.88, 'TO');</v>
      </c>
      <c r="O192" t="str">
        <f t="shared" si="10"/>
        <v>insert into business_analytic.report.orenda values(2026, 3, '2021129700', 'Гребінки,Фора-317 Київська,99', NULL, 8910446.49, 'TO');</v>
      </c>
      <c r="P192" t="str">
        <f t="shared" si="11"/>
        <v>insert into business_analytic.report.orenda values(2026, 4, '2021129700', 'Гребінки,Фора-317 Київська,99', NULL, 9724512.19, 'TO');</v>
      </c>
      <c r="Q192" t="str">
        <f t="shared" si="12"/>
        <v>insert into business_analytic.report.orenda values(2026, 5, '2021129700', 'Гребінки,Фора-317 Київська,99', NULL, 10454052.33, 'TO');</v>
      </c>
    </row>
    <row r="193" spans="1:17" x14ac:dyDescent="0.3">
      <c r="A193" t="s">
        <v>343</v>
      </c>
      <c r="B193" t="s">
        <v>1052</v>
      </c>
      <c r="C193" t="s">
        <v>1053</v>
      </c>
      <c r="D193" s="2">
        <v>14221711.889999999</v>
      </c>
      <c r="E193" s="2">
        <v>13214254.969999999</v>
      </c>
      <c r="F193" s="2">
        <v>14494265.42</v>
      </c>
      <c r="G193" s="2">
        <v>13904669.76</v>
      </c>
      <c r="H193" s="2">
        <v>14936718.419999998</v>
      </c>
      <c r="I193" s="2">
        <v>14277794.34</v>
      </c>
      <c r="J193" s="2">
        <v>5234993.82</v>
      </c>
      <c r="K193" s="2">
        <v>90284408.620000005</v>
      </c>
      <c r="L193" s="2"/>
      <c r="M193" t="str">
        <f t="shared" si="9"/>
        <v>insert into business_analytic.report.orenda values(2026, 1, '2021129800', 'ПетрБорщагівка,Фора-318 Львівська,1А', NULL, 14221711.89, 'TO');</v>
      </c>
      <c r="N193" t="str">
        <f t="shared" si="10"/>
        <v>insert into business_analytic.report.orenda values(2026, 2, '2021129800', 'ПетрБорщагівка,Фора-318 Львівська,1А', NULL, 13214254.97, 'TO');</v>
      </c>
      <c r="O193" t="str">
        <f t="shared" si="10"/>
        <v>insert into business_analytic.report.orenda values(2026, 3, '2021129800', 'ПетрБорщагівка,Фора-318 Львівська,1А', NULL, 14494265.42, 'TO');</v>
      </c>
      <c r="P193" t="str">
        <f t="shared" si="11"/>
        <v>insert into business_analytic.report.orenda values(2026, 4, '2021129800', 'ПетрБорщагівка,Фора-318 Львівська,1А', NULL, 13904669.76, 'TO');</v>
      </c>
      <c r="Q193" t="str">
        <f t="shared" si="12"/>
        <v>insert into business_analytic.report.orenda values(2026, 5, '2021129800', 'ПетрБорщагівка,Фора-318 Львівська,1А', NULL, 14936718.42, 'TO');</v>
      </c>
    </row>
    <row r="194" spans="1:17" x14ac:dyDescent="0.3">
      <c r="A194" t="s">
        <v>34</v>
      </c>
      <c r="B194" t="s">
        <v>506</v>
      </c>
      <c r="C194" t="s">
        <v>798</v>
      </c>
      <c r="D194" s="2">
        <v>13987035.959999997</v>
      </c>
      <c r="E194" s="2">
        <v>13399833.149999999</v>
      </c>
      <c r="F194" s="2">
        <v>14477479.800000001</v>
      </c>
      <c r="G194" s="2">
        <v>13812337.029999999</v>
      </c>
      <c r="H194" s="2">
        <v>13596545.270000001</v>
      </c>
      <c r="I194" s="2">
        <v>12375611.779999999</v>
      </c>
      <c r="J194" s="2">
        <v>4695738.3199999994</v>
      </c>
      <c r="K194" s="2">
        <v>86344581.310000002</v>
      </c>
      <c r="L194" s="2"/>
      <c r="M194" t="str">
        <f t="shared" si="9"/>
        <v>insert into business_analytic.report.orenda values(2026, 1, '2021129900', 'СофБорщагівка,Фора-319 Сагайдачного,20А', NULL, 13987035.96, 'TO');</v>
      </c>
      <c r="N194" t="str">
        <f t="shared" si="10"/>
        <v>insert into business_analytic.report.orenda values(2026, 2, '2021129900', 'СофБорщагівка,Фора-319 Сагайдачного,20А', NULL, 13399833.15, 'TO');</v>
      </c>
      <c r="O194" t="str">
        <f t="shared" si="10"/>
        <v>insert into business_analytic.report.orenda values(2026, 3, '2021129900', 'СофБорщагівка,Фора-319 Сагайдачного,20А', NULL, 14477479.8, 'TO');</v>
      </c>
      <c r="P194" t="str">
        <f t="shared" si="11"/>
        <v>insert into business_analytic.report.orenda values(2026, 4, '2021129900', 'СофБорщагівка,Фора-319 Сагайдачного,20А', NULL, 13812337.03, 'TO');</v>
      </c>
      <c r="Q194" t="str">
        <f t="shared" si="12"/>
        <v>insert into business_analytic.report.orenda values(2026, 5, '2021129900', 'СофБорщагівка,Фора-319 Сагайдачного,20А', NULL, 13596545.27, 'TO');</v>
      </c>
    </row>
    <row r="195" spans="1:17" x14ac:dyDescent="0.3">
      <c r="A195" t="s">
        <v>35</v>
      </c>
      <c r="B195" t="s">
        <v>507</v>
      </c>
      <c r="C195" t="s">
        <v>799</v>
      </c>
      <c r="D195" s="2">
        <v>10265051.109999999</v>
      </c>
      <c r="E195" s="2">
        <v>10222219.190000001</v>
      </c>
      <c r="F195" s="2">
        <v>11142779.789999999</v>
      </c>
      <c r="G195" s="2">
        <v>11114410.08</v>
      </c>
      <c r="H195" s="2">
        <v>11771426.189999999</v>
      </c>
      <c r="I195" s="2">
        <v>11202461.77</v>
      </c>
      <c r="J195" s="2">
        <v>4133380.82</v>
      </c>
      <c r="K195" s="2">
        <v>69851728.950000003</v>
      </c>
      <c r="L195" s="2"/>
      <c r="M195" t="str">
        <f t="shared" si="9"/>
        <v>insert into business_analytic.report.orenda values(2026, 1, '2021130000', 'Ірпінь,Фора-320 Університетська,2Ф/3', NULL, 10265051.11, 'TO');</v>
      </c>
      <c r="N195" t="str">
        <f t="shared" si="10"/>
        <v>insert into business_analytic.report.orenda values(2026, 2, '2021130000', 'Ірпінь,Фора-320 Університетська,2Ф/3', NULL, 10222219.19, 'TO');</v>
      </c>
      <c r="O195" t="str">
        <f t="shared" si="10"/>
        <v>insert into business_analytic.report.orenda values(2026, 3, '2021130000', 'Ірпінь,Фора-320 Університетська,2Ф/3', NULL, 11142779.79, 'TO');</v>
      </c>
      <c r="P195" t="str">
        <f t="shared" si="11"/>
        <v>insert into business_analytic.report.orenda values(2026, 4, '2021130000', 'Ірпінь,Фора-320 Університетська,2Ф/3', NULL, 11114410.08, 'TO');</v>
      </c>
      <c r="Q195" t="str">
        <f t="shared" si="12"/>
        <v>insert into business_analytic.report.orenda values(2026, 5, '2021130000', 'Ірпінь,Фора-320 Університетська,2Ф/3', NULL, 11771426.19, 'TO');</v>
      </c>
    </row>
    <row r="196" spans="1:17" x14ac:dyDescent="0.3">
      <c r="A196" t="s">
        <v>344</v>
      </c>
      <c r="B196" t="s">
        <v>1054</v>
      </c>
      <c r="C196" t="s">
        <v>1055</v>
      </c>
      <c r="D196" s="2">
        <v>16517184.33</v>
      </c>
      <c r="E196" s="2">
        <v>15662201.789999999</v>
      </c>
      <c r="F196" s="2">
        <v>18007970.109999999</v>
      </c>
      <c r="G196" s="2">
        <v>18887567.899999999</v>
      </c>
      <c r="H196" s="2">
        <v>20439214.650000002</v>
      </c>
      <c r="I196" s="2">
        <v>20296097.689999998</v>
      </c>
      <c r="J196" s="2">
        <v>7620019.9399999995</v>
      </c>
      <c r="K196" s="2">
        <v>117430256.41</v>
      </c>
      <c r="L196" s="2"/>
      <c r="M196" t="str">
        <f t="shared" si="9"/>
        <v>insert into business_analytic.report.orenda values(2026, 1, '2021130100', 'Ворзель,Фора-321 Курортна,60А', NULL, 16517184.33, 'TO');</v>
      </c>
      <c r="N196" t="str">
        <f t="shared" si="10"/>
        <v>insert into business_analytic.report.orenda values(2026, 2, '2021130100', 'Ворзель,Фора-321 Курортна,60А', NULL, 15662201.79, 'TO');</v>
      </c>
      <c r="O196" t="str">
        <f t="shared" si="10"/>
        <v>insert into business_analytic.report.orenda values(2026, 3, '2021130100', 'Ворзель,Фора-321 Курортна,60А', NULL, 18007970.11, 'TO');</v>
      </c>
      <c r="P196" t="str">
        <f t="shared" si="11"/>
        <v>insert into business_analytic.report.orenda values(2026, 4, '2021130100', 'Ворзель,Фора-321 Курортна,60А', NULL, 18887567.9, 'TO');</v>
      </c>
      <c r="Q196" t="str">
        <f t="shared" si="12"/>
        <v>insert into business_analytic.report.orenda values(2026, 5, '2021130100', 'Ворзель,Фора-321 Курортна,60А', NULL, 20439214.65, 'TO');</v>
      </c>
    </row>
    <row r="197" spans="1:17" x14ac:dyDescent="0.3">
      <c r="A197" t="s">
        <v>345</v>
      </c>
      <c r="B197" t="s">
        <v>1056</v>
      </c>
      <c r="C197" t="s">
        <v>1057</v>
      </c>
      <c r="D197" s="2">
        <v>15102638.560000001</v>
      </c>
      <c r="E197" s="2">
        <v>14630786.369999999</v>
      </c>
      <c r="F197" s="2">
        <v>16947855.98</v>
      </c>
      <c r="G197" s="2">
        <v>17399834.199999999</v>
      </c>
      <c r="H197" s="2">
        <v>19534572.850000001</v>
      </c>
      <c r="I197" s="2">
        <v>19174885.959999997</v>
      </c>
      <c r="J197" s="2">
        <v>7605250.0699999994</v>
      </c>
      <c r="K197" s="2">
        <v>110395823.99000001</v>
      </c>
      <c r="L197" s="2"/>
      <c r="M197" t="str">
        <f t="shared" si="9"/>
        <v>insert into business_analytic.report.orenda values(2026, 1, '2021130200', 'Глеваха,Фора-322 Грушевського,42', NULL, 15102638.56, 'TO');</v>
      </c>
      <c r="N197" t="str">
        <f t="shared" si="10"/>
        <v>insert into business_analytic.report.orenda values(2026, 2, '2021130200', 'Глеваха,Фора-322 Грушевського,42', NULL, 14630786.37, 'TO');</v>
      </c>
      <c r="O197" t="str">
        <f t="shared" si="10"/>
        <v>insert into business_analytic.report.orenda values(2026, 3, '2021130200', 'Глеваха,Фора-322 Грушевського,42', NULL, 16947855.98, 'TO');</v>
      </c>
      <c r="P197" t="str">
        <f t="shared" si="11"/>
        <v>insert into business_analytic.report.orenda values(2026, 4, '2021130200', 'Глеваха,Фора-322 Грушевського,42', NULL, 17399834.2, 'TO');</v>
      </c>
      <c r="Q197" t="str">
        <f t="shared" si="12"/>
        <v>insert into business_analytic.report.orenda values(2026, 5, '2021130200', 'Глеваха,Фора-322 Грушевського,42', NULL, 19534572.85, 'TO');</v>
      </c>
    </row>
    <row r="198" spans="1:17" s="3" customFormat="1" x14ac:dyDescent="0.3">
      <c r="A198" t="s">
        <v>346</v>
      </c>
      <c r="B198" t="s">
        <v>1058</v>
      </c>
      <c r="C198" t="s">
        <v>1059</v>
      </c>
      <c r="D198" s="2">
        <v>18706917.449999999</v>
      </c>
      <c r="E198" s="2">
        <v>19669106.149999999</v>
      </c>
      <c r="F198" s="2">
        <v>21380109.73</v>
      </c>
      <c r="G198" s="2">
        <v>20831503.370000001</v>
      </c>
      <c r="H198" s="2">
        <v>22117504.470000003</v>
      </c>
      <c r="I198" s="2">
        <v>19868320.789999999</v>
      </c>
      <c r="J198" s="2">
        <v>7520068.5199999996</v>
      </c>
      <c r="K198" s="2">
        <v>130093530.47999999</v>
      </c>
      <c r="L198" s="2"/>
      <c r="M198" t="str">
        <f t="shared" si="9"/>
        <v>insert into business_analytic.report.orenda values(2026, 1, '2021130300', 'Бориспіль,Фора-323 Головатого,30', NULL, 18706917.45, 'TO');</v>
      </c>
      <c r="N198" t="str">
        <f t="shared" si="10"/>
        <v>insert into business_analytic.report.orenda values(2026, 2, '2021130300', 'Бориспіль,Фора-323 Головатого,30', NULL, 19669106.15, 'TO');</v>
      </c>
      <c r="O198" t="str">
        <f t="shared" si="10"/>
        <v>insert into business_analytic.report.orenda values(2026, 3, '2021130300', 'Бориспіль,Фора-323 Головатого,30', NULL, 21380109.73, 'TO');</v>
      </c>
      <c r="P198" t="str">
        <f t="shared" si="11"/>
        <v>insert into business_analytic.report.orenda values(2026, 4, '2021130300', 'Бориспіль,Фора-323 Головатого,30', NULL, 20831503.37, 'TO');</v>
      </c>
      <c r="Q198" t="str">
        <f t="shared" si="12"/>
        <v>insert into business_analytic.report.orenda values(2026, 5, '2021130300', 'Бориспіль,Фора-323 Головатого,30', NULL, 22117504.47, 'TO');</v>
      </c>
    </row>
    <row r="199" spans="1:17" x14ac:dyDescent="0.3">
      <c r="A199" t="s">
        <v>36</v>
      </c>
      <c r="B199" t="s">
        <v>508</v>
      </c>
      <c r="C199" t="s">
        <v>800</v>
      </c>
      <c r="D199" s="2">
        <v>15659517.549999999</v>
      </c>
      <c r="E199" s="2">
        <v>14961271.829999998</v>
      </c>
      <c r="F199" s="2">
        <v>16892664.689999998</v>
      </c>
      <c r="G199" s="2">
        <v>16134368.689999999</v>
      </c>
      <c r="H199" s="2">
        <v>16730592.429999998</v>
      </c>
      <c r="I199" s="2">
        <v>15276700.569999998</v>
      </c>
      <c r="J199" s="2">
        <v>5703819.6699999999</v>
      </c>
      <c r="K199" s="2">
        <v>101358935.42999998</v>
      </c>
      <c r="L199" s="2"/>
      <c r="M199" t="str">
        <f t="shared" si="9"/>
        <v>insert into business_analytic.report.orenda values(2026, 1, '2021130400', 'Коцюбинське,Фора-324 Доківська,14/1', NULL, 15659517.55, 'TO');</v>
      </c>
      <c r="N199" t="str">
        <f t="shared" si="10"/>
        <v>insert into business_analytic.report.orenda values(2026, 2, '2021130400', 'Коцюбинське,Фора-324 Доківська,14/1', NULL, 14961271.83, 'TO');</v>
      </c>
      <c r="O199" t="str">
        <f t="shared" si="10"/>
        <v>insert into business_analytic.report.orenda values(2026, 3, '2021130400', 'Коцюбинське,Фора-324 Доківська,14/1', NULL, 16892664.69, 'TO');</v>
      </c>
      <c r="P199" t="str">
        <f t="shared" si="11"/>
        <v>insert into business_analytic.report.orenda values(2026, 4, '2021130400', 'Коцюбинське,Фора-324 Доківська,14/1', NULL, 16134368.69, 'TO');</v>
      </c>
      <c r="Q199" t="str">
        <f t="shared" si="12"/>
        <v>insert into business_analytic.report.orenda values(2026, 5, '2021130400', 'Коцюбинське,Фора-324 Доківська,14/1', NULL, 16730592.43, 'TO');</v>
      </c>
    </row>
    <row r="200" spans="1:17" x14ac:dyDescent="0.3">
      <c r="A200" t="s">
        <v>37</v>
      </c>
      <c r="B200" t="s">
        <v>692</v>
      </c>
      <c r="C200" t="s">
        <v>801</v>
      </c>
      <c r="D200" s="2">
        <v>12666628.829999998</v>
      </c>
      <c r="E200" s="2">
        <v>11167523.529999999</v>
      </c>
      <c r="F200" s="2">
        <v>12954412.469999999</v>
      </c>
      <c r="G200" s="2">
        <v>13794210.040000001</v>
      </c>
      <c r="H200" s="2">
        <v>16739030.499999998</v>
      </c>
      <c r="I200" s="2">
        <v>17437599.260000002</v>
      </c>
      <c r="J200" s="2">
        <v>6912444.1900000004</v>
      </c>
      <c r="K200" s="2">
        <v>91671848.819999978</v>
      </c>
      <c r="L200" s="2"/>
      <c r="M200" t="str">
        <f t="shared" si="9"/>
        <v>insert into business_analytic.report.orenda values(2026, 1, '2021130600', 'Вороньків,Фора-326 Вишнева,18', NULL, 12666628.83, 'TO');</v>
      </c>
      <c r="N200" t="str">
        <f t="shared" si="10"/>
        <v>insert into business_analytic.report.orenda values(2026, 2, '2021130600', 'Вороньків,Фора-326 Вишнева,18', NULL, 11167523.53, 'TO');</v>
      </c>
      <c r="O200" t="str">
        <f t="shared" si="10"/>
        <v>insert into business_analytic.report.orenda values(2026, 3, '2021130600', 'Вороньків,Фора-326 Вишнева,18', NULL, 12954412.47, 'TO');</v>
      </c>
      <c r="P200" t="str">
        <f t="shared" si="11"/>
        <v>insert into business_analytic.report.orenda values(2026, 4, '2021130600', 'Вороньків,Фора-326 Вишнева,18', NULL, 13794210.04, 'TO');</v>
      </c>
      <c r="Q200" t="str">
        <f t="shared" si="12"/>
        <v>insert into business_analytic.report.orenda values(2026, 5, '2021130600', 'Вороньків,Фора-326 Вишнева,18', NULL, 16739030.5, 'TO');</v>
      </c>
    </row>
    <row r="201" spans="1:17" x14ac:dyDescent="0.3">
      <c r="A201" t="s">
        <v>347</v>
      </c>
      <c r="B201" t="s">
        <v>1060</v>
      </c>
      <c r="C201" t="s">
        <v>1061</v>
      </c>
      <c r="D201" s="2">
        <v>27445073.579999998</v>
      </c>
      <c r="E201" s="2">
        <v>24811993.870000001</v>
      </c>
      <c r="F201" s="2">
        <v>28809656.609999999</v>
      </c>
      <c r="G201" s="2">
        <v>30050478.579999998</v>
      </c>
      <c r="H201" s="2">
        <v>36135011.839999996</v>
      </c>
      <c r="I201" s="2">
        <v>37860019.280000001</v>
      </c>
      <c r="J201" s="2">
        <v>14802117.390000001</v>
      </c>
      <c r="K201" s="2">
        <v>199914351.14999998</v>
      </c>
      <c r="L201" s="2"/>
      <c r="M201" t="str">
        <f t="shared" ref="M201:M264" si="13">"insert into business_analytic.report.orenda values("&amp;2026&amp;", "&amp;D$7&amp;", '"&amp;$A201&amp;"', '"&amp;$B201&amp;"', "&amp;"NULL"&amp;", "&amp;IF(D201="",0,D201)&amp;", "&amp;"'TO'"&amp;");"</f>
        <v>insert into business_analytic.report.orenda values(2026, 1, '2021130700', 'Хотянівка,Фора-327 Валова,2В', NULL, 27445073.58, 'TO');</v>
      </c>
      <c r="N201" t="str">
        <f t="shared" ref="N201:O264" si="14">"insert into business_analytic.report.orenda values("&amp;2026&amp;", "&amp;E$7&amp;", '"&amp;$A201&amp;"', '"&amp;$B201&amp;"', "&amp;"NULL"&amp;", "&amp;IF(E201="",0,E201)&amp;", "&amp;"'TO'"&amp;");"</f>
        <v>insert into business_analytic.report.orenda values(2026, 2, '2021130700', 'Хотянівка,Фора-327 Валова,2В', NULL, 24811993.87, 'TO');</v>
      </c>
      <c r="O201" t="str">
        <f t="shared" si="14"/>
        <v>insert into business_analytic.report.orenda values(2026, 3, '2021130700', 'Хотянівка,Фора-327 Валова,2В', NULL, 28809656.61, 'TO');</v>
      </c>
      <c r="P201" t="str">
        <f t="shared" ref="P201:P264" si="15">"insert into business_analytic.report.orenda values("&amp;2026&amp;", "&amp;G$7&amp;", '"&amp;$A201&amp;"', '"&amp;$B201&amp;"', "&amp;"NULL"&amp;", "&amp;IF(G201="",0,G201)&amp;", "&amp;"'TO'"&amp;");"</f>
        <v>insert into business_analytic.report.orenda values(2026, 4, '2021130700', 'Хотянівка,Фора-327 Валова,2В', NULL, 30050478.58, 'TO');</v>
      </c>
      <c r="Q201" t="str">
        <f t="shared" ref="Q201:Q264" si="16">"insert into business_analytic.report.orenda values("&amp;2026&amp;", "&amp;H$7&amp;", '"&amp;$A201&amp;"', '"&amp;$B201&amp;"', "&amp;"NULL"&amp;", "&amp;IF(H201="",0,H201)&amp;", "&amp;"'TO'"&amp;");"</f>
        <v>insert into business_analytic.report.orenda values(2026, 5, '2021130700', 'Хотянівка,Фора-327 Валова,2В', NULL, 36135011.84, 'TO');</v>
      </c>
    </row>
    <row r="202" spans="1:17" s="3" customFormat="1" x14ac:dyDescent="0.3">
      <c r="A202" t="s">
        <v>348</v>
      </c>
      <c r="B202" t="s">
        <v>1062</v>
      </c>
      <c r="C202" t="s">
        <v>1063</v>
      </c>
      <c r="D202" s="2">
        <v>10379053.68</v>
      </c>
      <c r="E202" s="2">
        <v>9783458.8399999999</v>
      </c>
      <c r="F202" s="2">
        <v>11082207.76</v>
      </c>
      <c r="G202" s="2">
        <v>11020749.129999999</v>
      </c>
      <c r="H202" s="2">
        <v>12287241.899999999</v>
      </c>
      <c r="I202" s="2">
        <v>12523595.619999999</v>
      </c>
      <c r="J202" s="2">
        <v>4765824.87</v>
      </c>
      <c r="K202" s="2">
        <v>71842131.799999997</v>
      </c>
      <c r="L202" s="2"/>
      <c r="M202" t="str">
        <f t="shared" si="13"/>
        <v>insert into business_analytic.report.orenda values(2026, 1, '2021130800', 'Київ,Фора-328 Португальська,2А', NULL, 10379053.68, 'TO');</v>
      </c>
      <c r="N202" t="str">
        <f t="shared" si="14"/>
        <v>insert into business_analytic.report.orenda values(2026, 2, '2021130800', 'Київ,Фора-328 Португальська,2А', NULL, 9783458.84, 'TO');</v>
      </c>
      <c r="O202" t="str">
        <f t="shared" si="14"/>
        <v>insert into business_analytic.report.orenda values(2026, 3, '2021130800', 'Київ,Фора-328 Португальська,2А', NULL, 11082207.76, 'TO');</v>
      </c>
      <c r="P202" t="str">
        <f t="shared" si="15"/>
        <v>insert into business_analytic.report.orenda values(2026, 4, '2021130800', 'Київ,Фора-328 Португальська,2А', NULL, 11020749.13, 'TO');</v>
      </c>
      <c r="Q202" t="str">
        <f t="shared" si="16"/>
        <v>insert into business_analytic.report.orenda values(2026, 5, '2021130800', 'Київ,Фора-328 Португальська,2А', NULL, 12287241.9, 'TO');</v>
      </c>
    </row>
    <row r="203" spans="1:17" x14ac:dyDescent="0.3">
      <c r="A203" t="s">
        <v>349</v>
      </c>
      <c r="B203" t="s">
        <v>1064</v>
      </c>
      <c r="C203" t="s">
        <v>1065</v>
      </c>
      <c r="D203" s="2">
        <v>12235540.24</v>
      </c>
      <c r="E203" s="2">
        <v>11706156.309999999</v>
      </c>
      <c r="F203" s="2">
        <v>13314077.109999999</v>
      </c>
      <c r="G203" s="2">
        <v>12683266.060000001</v>
      </c>
      <c r="H203" s="2">
        <v>14127070.83</v>
      </c>
      <c r="I203" s="2">
        <v>13322064.799999999</v>
      </c>
      <c r="J203" s="2">
        <v>5022849.0999999996</v>
      </c>
      <c r="K203" s="2">
        <v>82411024.450000003</v>
      </c>
      <c r="L203" s="2"/>
      <c r="M203" t="str">
        <f t="shared" si="13"/>
        <v>insert into business_analytic.report.orenda values(2026, 1, '2021130900', 'Гатне,Фора-329 Інститутська,16', NULL, 12235540.24, 'TO');</v>
      </c>
      <c r="N203" t="str">
        <f t="shared" si="14"/>
        <v>insert into business_analytic.report.orenda values(2026, 2, '2021130900', 'Гатне,Фора-329 Інститутська,16', NULL, 11706156.31, 'TO');</v>
      </c>
      <c r="O203" t="str">
        <f t="shared" si="14"/>
        <v>insert into business_analytic.report.orenda values(2026, 3, '2021130900', 'Гатне,Фора-329 Інститутська,16', NULL, 13314077.11, 'TO');</v>
      </c>
      <c r="P203" t="str">
        <f t="shared" si="15"/>
        <v>insert into business_analytic.report.orenda values(2026, 4, '2021130900', 'Гатне,Фора-329 Інститутська,16', NULL, 12683266.06, 'TO');</v>
      </c>
      <c r="Q203" t="str">
        <f t="shared" si="16"/>
        <v>insert into business_analytic.report.orenda values(2026, 5, '2021130900', 'Гатне,Фора-329 Інститутська,16', NULL, 14127070.83, 'TO');</v>
      </c>
    </row>
    <row r="204" spans="1:17" x14ac:dyDescent="0.3">
      <c r="A204" t="s">
        <v>350</v>
      </c>
      <c r="B204" t="s">
        <v>1066</v>
      </c>
      <c r="C204" t="s">
        <v>1067</v>
      </c>
      <c r="D204" s="2">
        <v>17397635.449999999</v>
      </c>
      <c r="E204" s="2">
        <v>16272140.839999998</v>
      </c>
      <c r="F204" s="2">
        <v>19425528.469999999</v>
      </c>
      <c r="G204" s="2">
        <v>19272509.539999999</v>
      </c>
      <c r="H204" s="2">
        <v>22744551.949999999</v>
      </c>
      <c r="I204" s="2">
        <v>23695286.370000001</v>
      </c>
      <c r="J204" s="2">
        <v>9217641.2699999996</v>
      </c>
      <c r="K204" s="2">
        <v>128025293.89</v>
      </c>
      <c r="L204" s="2"/>
      <c r="M204" t="str">
        <f t="shared" si="13"/>
        <v>insert into business_analytic.report.orenda values(2026, 1, '2021131000', 'Лютіж,Фора-330 Визволителів,56А', NULL, 17397635.45, 'TO');</v>
      </c>
      <c r="N204" t="str">
        <f t="shared" si="14"/>
        <v>insert into business_analytic.report.orenda values(2026, 2, '2021131000', 'Лютіж,Фора-330 Визволителів,56А', NULL, 16272140.84, 'TO');</v>
      </c>
      <c r="O204" t="str">
        <f t="shared" si="14"/>
        <v>insert into business_analytic.report.orenda values(2026, 3, '2021131000', 'Лютіж,Фора-330 Визволителів,56А', NULL, 19425528.47, 'TO');</v>
      </c>
      <c r="P204" t="str">
        <f t="shared" si="15"/>
        <v>insert into business_analytic.report.orenda values(2026, 4, '2021131000', 'Лютіж,Фора-330 Визволителів,56А', NULL, 19272509.54, 'TO');</v>
      </c>
      <c r="Q204" t="str">
        <f t="shared" si="16"/>
        <v>insert into business_analytic.report.orenda values(2026, 5, '2021131000', 'Лютіж,Фора-330 Визволителів,56А', NULL, 22744551.95, 'TO');</v>
      </c>
    </row>
    <row r="205" spans="1:17" x14ac:dyDescent="0.3">
      <c r="A205" t="s">
        <v>351</v>
      </c>
      <c r="B205" t="s">
        <v>1068</v>
      </c>
      <c r="C205" t="s">
        <v>1069</v>
      </c>
      <c r="D205" s="2">
        <v>10001039.460000001</v>
      </c>
      <c r="E205" s="2">
        <v>9769068.8899999987</v>
      </c>
      <c r="F205" s="2">
        <v>11890749.999999998</v>
      </c>
      <c r="G205" s="2">
        <v>11815212.079999998</v>
      </c>
      <c r="H205" s="2">
        <v>13022170.5</v>
      </c>
      <c r="I205" s="2">
        <v>12958111.349999998</v>
      </c>
      <c r="J205" s="2">
        <v>4838499.8600000003</v>
      </c>
      <c r="K205" s="2">
        <v>74294852.140000001</v>
      </c>
      <c r="L205" s="2"/>
      <c r="M205" t="str">
        <f t="shared" si="13"/>
        <v>insert into business_analytic.report.orenda values(2026, 1, '2021131100', 'Віта-Поштова,Фора-331 Боярська,4Б', NULL, 10001039.46, 'TO');</v>
      </c>
      <c r="N205" t="str">
        <f t="shared" si="14"/>
        <v>insert into business_analytic.report.orenda values(2026, 2, '2021131100', 'Віта-Поштова,Фора-331 Боярська,4Б', NULL, 9769068.89, 'TO');</v>
      </c>
      <c r="O205" t="str">
        <f t="shared" si="14"/>
        <v>insert into business_analytic.report.orenda values(2026, 3, '2021131100', 'Віта-Поштова,Фора-331 Боярська,4Б', NULL, 11890750, 'TO');</v>
      </c>
      <c r="P205" t="str">
        <f t="shared" si="15"/>
        <v>insert into business_analytic.report.orenda values(2026, 4, '2021131100', 'Віта-Поштова,Фора-331 Боярська,4Б', NULL, 11815212.08, 'TO');</v>
      </c>
      <c r="Q205" t="str">
        <f t="shared" si="16"/>
        <v>insert into business_analytic.report.orenda values(2026, 5, '2021131100', 'Віта-Поштова,Фора-331 Боярська,4Б', NULL, 13022170.5, 'TO');</v>
      </c>
    </row>
    <row r="206" spans="1:17" x14ac:dyDescent="0.3">
      <c r="A206" t="s">
        <v>352</v>
      </c>
      <c r="B206" t="s">
        <v>1070</v>
      </c>
      <c r="C206" t="s">
        <v>1071</v>
      </c>
      <c r="D206" s="2">
        <v>11883601.07</v>
      </c>
      <c r="E206" s="2">
        <v>11552225.249999998</v>
      </c>
      <c r="F206" s="2">
        <v>13392327.24</v>
      </c>
      <c r="G206" s="2">
        <v>13176830.49</v>
      </c>
      <c r="H206" s="2">
        <v>14514289.379999999</v>
      </c>
      <c r="I206" s="2">
        <v>13937353.359999999</v>
      </c>
      <c r="J206" s="2">
        <v>5411104.04</v>
      </c>
      <c r="K206" s="2">
        <v>83867730.829999998</v>
      </c>
      <c r="L206" s="2"/>
      <c r="M206" t="str">
        <f t="shared" si="13"/>
        <v>insert into business_analytic.report.orenda values(2026, 1, '2021131200', 'Калинівка,Фора-332 Чернігівська,12', NULL, 11883601.07, 'TO');</v>
      </c>
      <c r="N206" t="str">
        <f t="shared" si="14"/>
        <v>insert into business_analytic.report.orenda values(2026, 2, '2021131200', 'Калинівка,Фора-332 Чернігівська,12', NULL, 11552225.25, 'TO');</v>
      </c>
      <c r="O206" t="str">
        <f t="shared" si="14"/>
        <v>insert into business_analytic.report.orenda values(2026, 3, '2021131200', 'Калинівка,Фора-332 Чернігівська,12', NULL, 13392327.24, 'TO');</v>
      </c>
      <c r="P206" t="str">
        <f t="shared" si="15"/>
        <v>insert into business_analytic.report.orenda values(2026, 4, '2021131200', 'Калинівка,Фора-332 Чернігівська,12', NULL, 13176830.49, 'TO');</v>
      </c>
      <c r="Q206" t="str">
        <f t="shared" si="16"/>
        <v>insert into business_analytic.report.orenda values(2026, 5, '2021131200', 'Калинівка,Фора-332 Чернігівська,12', NULL, 14514289.38, 'TO');</v>
      </c>
    </row>
    <row r="207" spans="1:17" x14ac:dyDescent="0.3">
      <c r="A207" t="s">
        <v>353</v>
      </c>
      <c r="B207" t="s">
        <v>1072</v>
      </c>
      <c r="C207" t="s">
        <v>1073</v>
      </c>
      <c r="D207" s="2">
        <v>14753421.699999999</v>
      </c>
      <c r="E207" s="2">
        <v>15119832.389999999</v>
      </c>
      <c r="F207" s="2">
        <v>16782211.59</v>
      </c>
      <c r="G207" s="2">
        <v>16470202.26</v>
      </c>
      <c r="H207" s="2">
        <v>17766996.890000001</v>
      </c>
      <c r="I207" s="2">
        <v>17090020.850000001</v>
      </c>
      <c r="J207" s="2">
        <v>6252427.9299999997</v>
      </c>
      <c r="K207" s="2">
        <v>104235113.60999998</v>
      </c>
      <c r="L207" s="2"/>
      <c r="M207" t="str">
        <f t="shared" si="13"/>
        <v>insert into business_analytic.report.orenda values(2026, 1, '2021131300', 'Ірпінь,Фора-333 Ново-Оскольська,2П', NULL, 14753421.7, 'TO');</v>
      </c>
      <c r="N207" t="str">
        <f t="shared" si="14"/>
        <v>insert into business_analytic.report.orenda values(2026, 2, '2021131300', 'Ірпінь,Фора-333 Ново-Оскольська,2П', NULL, 15119832.39, 'TO');</v>
      </c>
      <c r="O207" t="str">
        <f t="shared" si="14"/>
        <v>insert into business_analytic.report.orenda values(2026, 3, '2021131300', 'Ірпінь,Фора-333 Ново-Оскольська,2П', NULL, 16782211.59, 'TO');</v>
      </c>
      <c r="P207" t="str">
        <f t="shared" si="15"/>
        <v>insert into business_analytic.report.orenda values(2026, 4, '2021131300', 'Ірпінь,Фора-333 Ново-Оскольська,2П', NULL, 16470202.26, 'TO');</v>
      </c>
      <c r="Q207" t="str">
        <f t="shared" si="16"/>
        <v>insert into business_analytic.report.orenda values(2026, 5, '2021131300', 'Ірпінь,Фора-333 Ново-Оскольська,2П', NULL, 17766996.89, 'TO');</v>
      </c>
    </row>
    <row r="208" spans="1:17" x14ac:dyDescent="0.3">
      <c r="A208" t="s">
        <v>354</v>
      </c>
      <c r="B208" t="s">
        <v>1074</v>
      </c>
      <c r="C208" t="s">
        <v>1075</v>
      </c>
      <c r="D208" s="2">
        <v>10793228.129999999</v>
      </c>
      <c r="E208" s="2">
        <v>9896483.6600000001</v>
      </c>
      <c r="F208" s="2">
        <v>11294091.880000001</v>
      </c>
      <c r="G208" s="2">
        <v>10969625.630000001</v>
      </c>
      <c r="H208" s="2">
        <v>11928483.569999998</v>
      </c>
      <c r="I208" s="2">
        <v>11026589.419999996</v>
      </c>
      <c r="J208" s="2">
        <v>4066847.13</v>
      </c>
      <c r="K208" s="2">
        <v>69975349.419999987</v>
      </c>
      <c r="L208" s="2"/>
      <c r="M208" t="str">
        <f t="shared" si="13"/>
        <v>insert into business_analytic.report.orenda values(2026, 1, '2021131400', 'Ірпінь,Фора-334 Сковороди,11', NULL, 10793228.13, 'TO');</v>
      </c>
      <c r="N208" t="str">
        <f t="shared" si="14"/>
        <v>insert into business_analytic.report.orenda values(2026, 2, '2021131400', 'Ірпінь,Фора-334 Сковороди,11', NULL, 9896483.66, 'TO');</v>
      </c>
      <c r="O208" t="str">
        <f t="shared" si="14"/>
        <v>insert into business_analytic.report.orenda values(2026, 3, '2021131400', 'Ірпінь,Фора-334 Сковороди,11', NULL, 11294091.88, 'TO');</v>
      </c>
      <c r="P208" t="str">
        <f t="shared" si="15"/>
        <v>insert into business_analytic.report.orenda values(2026, 4, '2021131400', 'Ірпінь,Фора-334 Сковороди,11', NULL, 10969625.63, 'TO');</v>
      </c>
      <c r="Q208" t="str">
        <f t="shared" si="16"/>
        <v>insert into business_analytic.report.orenda values(2026, 5, '2021131400', 'Ірпінь,Фора-334 Сковороди,11', NULL, 11928483.57, 'TO');</v>
      </c>
    </row>
    <row r="209" spans="1:17" x14ac:dyDescent="0.3">
      <c r="A209" t="s">
        <v>355</v>
      </c>
      <c r="B209" t="s">
        <v>1076</v>
      </c>
      <c r="C209" t="s">
        <v>1077</v>
      </c>
      <c r="D209" s="2">
        <v>13461934.779999999</v>
      </c>
      <c r="E209" s="2">
        <v>13691746.019999998</v>
      </c>
      <c r="F209" s="2">
        <v>15614594.32</v>
      </c>
      <c r="G209" s="2">
        <v>15751328.379999999</v>
      </c>
      <c r="H209" s="2">
        <v>17791728.240000002</v>
      </c>
      <c r="I209" s="2">
        <v>17806183.579999998</v>
      </c>
      <c r="J209" s="2">
        <v>6698874.6200000001</v>
      </c>
      <c r="K209" s="2">
        <v>100816389.94</v>
      </c>
      <c r="L209" s="2"/>
      <c r="M209" t="str">
        <f t="shared" si="13"/>
        <v>insert into business_analytic.report.orenda values(2026, 1, '2021131500', 'Білогородка,Фора-335 Володимирська,35/1', NULL, 13461934.78, 'TO');</v>
      </c>
      <c r="N209" t="str">
        <f t="shared" si="14"/>
        <v>insert into business_analytic.report.orenda values(2026, 2, '2021131500', 'Білогородка,Фора-335 Володимирська,35/1', NULL, 13691746.02, 'TO');</v>
      </c>
      <c r="O209" t="str">
        <f t="shared" si="14"/>
        <v>insert into business_analytic.report.orenda values(2026, 3, '2021131500', 'Білогородка,Фора-335 Володимирська,35/1', NULL, 15614594.32, 'TO');</v>
      </c>
      <c r="P209" t="str">
        <f t="shared" si="15"/>
        <v>insert into business_analytic.report.orenda values(2026, 4, '2021131500', 'Білогородка,Фора-335 Володимирська,35/1', NULL, 15751328.38, 'TO');</v>
      </c>
      <c r="Q209" t="str">
        <f t="shared" si="16"/>
        <v>insert into business_analytic.report.orenda values(2026, 5, '2021131500', 'Білогородка,Фора-335 Володимирська,35/1', NULL, 17791728.24, 'TO');</v>
      </c>
    </row>
    <row r="210" spans="1:17" x14ac:dyDescent="0.3">
      <c r="A210" t="s">
        <v>356</v>
      </c>
      <c r="B210" t="s">
        <v>1078</v>
      </c>
      <c r="C210" t="s">
        <v>1079</v>
      </c>
      <c r="D210" s="2">
        <v>20177941.359999999</v>
      </c>
      <c r="E210" s="2">
        <v>19131781.169999998</v>
      </c>
      <c r="F210" s="2">
        <v>21216424.259999998</v>
      </c>
      <c r="G210" s="2">
        <v>19598527.199999999</v>
      </c>
      <c r="H210" s="2">
        <v>20861298.16</v>
      </c>
      <c r="I210" s="2">
        <v>19438007.970000003</v>
      </c>
      <c r="J210" s="2">
        <v>7280146.4799999995</v>
      </c>
      <c r="K210" s="2">
        <v>127704126.59999999</v>
      </c>
      <c r="L210" s="2"/>
      <c r="M210" t="str">
        <f t="shared" si="13"/>
        <v>insert into business_analytic.report.orenda values(2026, 1, '2021131600', 'Бровари,Фора-336 Москаленка,39', NULL, 20177941.36, 'TO');</v>
      </c>
      <c r="N210" t="str">
        <f t="shared" si="14"/>
        <v>insert into business_analytic.report.orenda values(2026, 2, '2021131600', 'Бровари,Фора-336 Москаленка,39', NULL, 19131781.17, 'TO');</v>
      </c>
      <c r="O210" t="str">
        <f t="shared" si="14"/>
        <v>insert into business_analytic.report.orenda values(2026, 3, '2021131600', 'Бровари,Фора-336 Москаленка,39', NULL, 21216424.26, 'TO');</v>
      </c>
      <c r="P210" t="str">
        <f t="shared" si="15"/>
        <v>insert into business_analytic.report.orenda values(2026, 4, '2021131600', 'Бровари,Фора-336 Москаленка,39', NULL, 19598527.2, 'TO');</v>
      </c>
      <c r="Q210" t="str">
        <f t="shared" si="16"/>
        <v>insert into business_analytic.report.orenda values(2026, 5, '2021131600', 'Бровари,Фора-336 Москаленка,39', NULL, 20861298.16, 'TO');</v>
      </c>
    </row>
    <row r="211" spans="1:17" x14ac:dyDescent="0.3">
      <c r="A211" t="s">
        <v>357</v>
      </c>
      <c r="B211" t="s">
        <v>1080</v>
      </c>
      <c r="C211" t="s">
        <v>1081</v>
      </c>
      <c r="D211" s="2">
        <v>11802227.520000001</v>
      </c>
      <c r="E211" s="2">
        <v>10110350.609999998</v>
      </c>
      <c r="F211" s="2">
        <v>12808247.800000001</v>
      </c>
      <c r="G211" s="2">
        <v>12843326.51</v>
      </c>
      <c r="H211" s="2">
        <v>13908471.749999998</v>
      </c>
      <c r="I211" s="2">
        <v>14133668.09</v>
      </c>
      <c r="J211" s="2">
        <v>5237540.03</v>
      </c>
      <c r="K211" s="2">
        <v>80843832.310000002</v>
      </c>
      <c r="L211" s="2"/>
      <c r="M211" t="str">
        <f t="shared" si="13"/>
        <v>insert into business_analytic.report.orenda values(2026, 1, '2021131700', 'Вишгород,Фора-337 Ягідна,5А', NULL, 11802227.52, 'TO');</v>
      </c>
      <c r="N211" t="str">
        <f t="shared" si="14"/>
        <v>insert into business_analytic.report.orenda values(2026, 2, '2021131700', 'Вишгород,Фора-337 Ягідна,5А', NULL, 10110350.61, 'TO');</v>
      </c>
      <c r="O211" t="str">
        <f t="shared" si="14"/>
        <v>insert into business_analytic.report.orenda values(2026, 3, '2021131700', 'Вишгород,Фора-337 Ягідна,5А', NULL, 12808247.8, 'TO');</v>
      </c>
      <c r="P211" t="str">
        <f t="shared" si="15"/>
        <v>insert into business_analytic.report.orenda values(2026, 4, '2021131700', 'Вишгород,Фора-337 Ягідна,5А', NULL, 12843326.51, 'TO');</v>
      </c>
      <c r="Q211" t="str">
        <f t="shared" si="16"/>
        <v>insert into business_analytic.report.orenda values(2026, 5, '2021131700', 'Вишгород,Фора-337 Ягідна,5А', NULL, 13908471.75, 'TO');</v>
      </c>
    </row>
    <row r="212" spans="1:17" x14ac:dyDescent="0.3">
      <c r="A212" t="s">
        <v>358</v>
      </c>
      <c r="B212" t="s">
        <v>1082</v>
      </c>
      <c r="C212" t="s">
        <v>1083</v>
      </c>
      <c r="D212" s="2">
        <v>9628494.9000000004</v>
      </c>
      <c r="E212" s="2">
        <v>9414220.5500000026</v>
      </c>
      <c r="F212" s="2">
        <v>10781052.27</v>
      </c>
      <c r="G212" s="2">
        <v>10393438.810000001</v>
      </c>
      <c r="H212" s="2">
        <v>11251554.009999998</v>
      </c>
      <c r="I212" s="2">
        <v>10857822.200000001</v>
      </c>
      <c r="J212" s="2">
        <v>4148630.55</v>
      </c>
      <c r="K212" s="2">
        <v>66475213.289999992</v>
      </c>
      <c r="L212" s="2"/>
      <c r="M212" t="str">
        <f t="shared" si="13"/>
        <v>insert into business_analytic.report.orenda values(2026, 1, '2021131800', 'Бровари,Фора-338 Київська,4', NULL, 9628494.9, 'TO');</v>
      </c>
      <c r="N212" t="str">
        <f t="shared" si="14"/>
        <v>insert into business_analytic.report.orenda values(2026, 2, '2021131800', 'Бровари,Фора-338 Київська,4', NULL, 9414220.55, 'TO');</v>
      </c>
      <c r="O212" t="str">
        <f t="shared" si="14"/>
        <v>insert into business_analytic.report.orenda values(2026, 3, '2021131800', 'Бровари,Фора-338 Київська,4', NULL, 10781052.27, 'TO');</v>
      </c>
      <c r="P212" t="str">
        <f t="shared" si="15"/>
        <v>insert into business_analytic.report.orenda values(2026, 4, '2021131800', 'Бровари,Фора-338 Київська,4', NULL, 10393438.81, 'TO');</v>
      </c>
      <c r="Q212" t="str">
        <f t="shared" si="16"/>
        <v>insert into business_analytic.report.orenda values(2026, 5, '2021131800', 'Бровари,Фора-338 Київська,4', NULL, 11251554.01, 'TO');</v>
      </c>
    </row>
    <row r="213" spans="1:17" x14ac:dyDescent="0.3">
      <c r="A213" t="s">
        <v>359</v>
      </c>
      <c r="B213" t="s">
        <v>1084</v>
      </c>
      <c r="C213" t="s">
        <v>1085</v>
      </c>
      <c r="D213" s="2">
        <v>11345228.819999998</v>
      </c>
      <c r="E213" s="2">
        <v>10693286.559999999</v>
      </c>
      <c r="F213" s="2">
        <v>12507891.649999999</v>
      </c>
      <c r="G213" s="2">
        <v>12245704.449999999</v>
      </c>
      <c r="H213" s="2">
        <v>13287984.469999999</v>
      </c>
      <c r="I213" s="2">
        <v>12148331.839999998</v>
      </c>
      <c r="J213" s="2">
        <v>4330074.3500000006</v>
      </c>
      <c r="K213" s="2">
        <v>76558502.139999986</v>
      </c>
      <c r="L213" s="2"/>
      <c r="M213" t="str">
        <f t="shared" si="13"/>
        <v>insert into business_analytic.report.orenda values(2026, 1, '2021131900', 'Київ,Фора-339 Волинська,9Б', NULL, 11345228.82, 'TO');</v>
      </c>
      <c r="N213" t="str">
        <f t="shared" si="14"/>
        <v>insert into business_analytic.report.orenda values(2026, 2, '2021131900', 'Київ,Фора-339 Волинська,9Б', NULL, 10693286.56, 'TO');</v>
      </c>
      <c r="O213" t="str">
        <f t="shared" si="14"/>
        <v>insert into business_analytic.report.orenda values(2026, 3, '2021131900', 'Київ,Фора-339 Волинська,9Б', NULL, 12507891.65, 'TO');</v>
      </c>
      <c r="P213" t="str">
        <f t="shared" si="15"/>
        <v>insert into business_analytic.report.orenda values(2026, 4, '2021131900', 'Київ,Фора-339 Волинська,9Б', NULL, 12245704.45, 'TO');</v>
      </c>
      <c r="Q213" t="str">
        <f t="shared" si="16"/>
        <v>insert into business_analytic.report.orenda values(2026, 5, '2021131900', 'Київ,Фора-339 Волинська,9Б', NULL, 13287984.47, 'TO');</v>
      </c>
    </row>
    <row r="214" spans="1:17" x14ac:dyDescent="0.3">
      <c r="A214" t="s">
        <v>360</v>
      </c>
      <c r="B214" t="s">
        <v>1086</v>
      </c>
      <c r="C214" t="s">
        <v>1087</v>
      </c>
      <c r="D214" s="2">
        <v>17182276.909999996</v>
      </c>
      <c r="E214" s="2">
        <v>15400545.51</v>
      </c>
      <c r="F214" s="2">
        <v>17346502.140000001</v>
      </c>
      <c r="G214" s="2">
        <v>18743359.689999998</v>
      </c>
      <c r="H214" s="2">
        <v>20447287.07</v>
      </c>
      <c r="I214" s="2">
        <v>19877771.289999999</v>
      </c>
      <c r="J214" s="2">
        <v>8052452.3099999996</v>
      </c>
      <c r="K214" s="2">
        <v>117050194.91999999</v>
      </c>
      <c r="L214" s="2"/>
      <c r="M214" t="str">
        <f t="shared" si="13"/>
        <v>insert into business_analytic.report.orenda values(2026, 1, '2021132000', 'Пісківка,Фора-340 Привокзальна,16Б', NULL, 17182276.91, 'TO');</v>
      </c>
      <c r="N214" t="str">
        <f t="shared" si="14"/>
        <v>insert into business_analytic.report.orenda values(2026, 2, '2021132000', 'Пісківка,Фора-340 Привокзальна,16Б', NULL, 15400545.51, 'TO');</v>
      </c>
      <c r="O214" t="str">
        <f t="shared" si="14"/>
        <v>insert into business_analytic.report.orenda values(2026, 3, '2021132000', 'Пісківка,Фора-340 Привокзальна,16Б', NULL, 17346502.14, 'TO');</v>
      </c>
      <c r="P214" t="str">
        <f t="shared" si="15"/>
        <v>insert into business_analytic.report.orenda values(2026, 4, '2021132000', 'Пісківка,Фора-340 Привокзальна,16Б', NULL, 18743359.69, 'TO');</v>
      </c>
      <c r="Q214" t="str">
        <f t="shared" si="16"/>
        <v>insert into business_analytic.report.orenda values(2026, 5, '2021132000', 'Пісківка,Фора-340 Привокзальна,16Б', NULL, 20447287.07, 'TO');</v>
      </c>
    </row>
    <row r="215" spans="1:17" x14ac:dyDescent="0.3">
      <c r="A215" t="s">
        <v>361</v>
      </c>
      <c r="B215" t="s">
        <v>1088</v>
      </c>
      <c r="C215" t="s">
        <v>1089</v>
      </c>
      <c r="D215" s="2">
        <v>11387237.449999999</v>
      </c>
      <c r="E215" s="2">
        <v>9941384.5900000017</v>
      </c>
      <c r="F215" s="2">
        <v>11640002.609999999</v>
      </c>
      <c r="G215" s="2">
        <v>11980936.120000001</v>
      </c>
      <c r="H215" s="2">
        <v>14524662.699999999</v>
      </c>
      <c r="I215" s="2">
        <v>14613633.029999999</v>
      </c>
      <c r="J215" s="2">
        <v>5784817.7699999996</v>
      </c>
      <c r="K215" s="2">
        <v>79872674.269999996</v>
      </c>
      <c r="L215" s="2"/>
      <c r="M215" t="str">
        <f t="shared" si="13"/>
        <v>insert into business_analytic.report.orenda values(2026, 1, '2021132100', 'Гореничі,Фора-341 АД О100720 /М06', NULL, 11387237.45, 'TO');</v>
      </c>
      <c r="N215" t="str">
        <f t="shared" si="14"/>
        <v>insert into business_analytic.report.orenda values(2026, 2, '2021132100', 'Гореничі,Фора-341 АД О100720 /М06', NULL, 9941384.59, 'TO');</v>
      </c>
      <c r="O215" t="str">
        <f t="shared" si="14"/>
        <v>insert into business_analytic.report.orenda values(2026, 3, '2021132100', 'Гореничі,Фора-341 АД О100720 /М06', NULL, 11640002.61, 'TO');</v>
      </c>
      <c r="P215" t="str">
        <f t="shared" si="15"/>
        <v>insert into business_analytic.report.orenda values(2026, 4, '2021132100', 'Гореничі,Фора-341 АД О100720 /М06', NULL, 11980936.12, 'TO');</v>
      </c>
      <c r="Q215" t="str">
        <f t="shared" si="16"/>
        <v>insert into business_analytic.report.orenda values(2026, 5, '2021132100', 'Гореничі,Фора-341 АД О100720 /М06', NULL, 14524662.7, 'TO');</v>
      </c>
    </row>
    <row r="216" spans="1:17" x14ac:dyDescent="0.3">
      <c r="A216" t="s">
        <v>362</v>
      </c>
      <c r="B216" t="s">
        <v>1090</v>
      </c>
      <c r="C216" t="s">
        <v>1091</v>
      </c>
      <c r="D216" s="2">
        <v>9905622.3899999987</v>
      </c>
      <c r="E216" s="2">
        <v>9897128.1300000008</v>
      </c>
      <c r="F216" s="2">
        <v>10653008.969999999</v>
      </c>
      <c r="G216" s="2">
        <v>9974779.7699999996</v>
      </c>
      <c r="H216" s="2">
        <v>11266657.23</v>
      </c>
      <c r="I216" s="2">
        <v>10957091.09</v>
      </c>
      <c r="J216" s="2">
        <v>3152111.2199999997</v>
      </c>
      <c r="K216" s="2">
        <v>65806398.799999997</v>
      </c>
      <c r="L216" s="2"/>
      <c r="M216" t="str">
        <f t="shared" si="13"/>
        <v>insert into business_analytic.report.orenda values(2026, 1, '2021132200', 'Вишневе,Фора-342 Київська,2Л', NULL, 9905622.39, 'TO');</v>
      </c>
      <c r="N216" t="str">
        <f t="shared" si="14"/>
        <v>insert into business_analytic.report.orenda values(2026, 2, '2021132200', 'Вишневе,Фора-342 Київська,2Л', NULL, 9897128.13, 'TO');</v>
      </c>
      <c r="O216" t="str">
        <f t="shared" si="14"/>
        <v>insert into business_analytic.report.orenda values(2026, 3, '2021132200', 'Вишневе,Фора-342 Київська,2Л', NULL, 10653008.97, 'TO');</v>
      </c>
      <c r="P216" t="str">
        <f t="shared" si="15"/>
        <v>insert into business_analytic.report.orenda values(2026, 4, '2021132200', 'Вишневе,Фора-342 Київська,2Л', NULL, 9974779.77, 'TO');</v>
      </c>
      <c r="Q216" t="str">
        <f t="shared" si="16"/>
        <v>insert into business_analytic.report.orenda values(2026, 5, '2021132200', 'Вишневе,Фора-342 Київська,2Л', NULL, 11266657.23, 'TO');</v>
      </c>
    </row>
    <row r="217" spans="1:17" x14ac:dyDescent="0.3">
      <c r="A217" t="s">
        <v>363</v>
      </c>
      <c r="B217" t="s">
        <v>1092</v>
      </c>
      <c r="C217" t="s">
        <v>1093</v>
      </c>
      <c r="D217" s="2">
        <v>23505586.219999999</v>
      </c>
      <c r="E217" s="2">
        <v>21582579.710000001</v>
      </c>
      <c r="F217" s="2">
        <v>24831029.599999998</v>
      </c>
      <c r="G217" s="2">
        <v>25528001.079999998</v>
      </c>
      <c r="H217" s="2">
        <v>28355380.780000001</v>
      </c>
      <c r="I217" s="2">
        <v>27760708.43</v>
      </c>
      <c r="J217" s="2">
        <v>11164259.909999998</v>
      </c>
      <c r="K217" s="2">
        <v>162727545.72999999</v>
      </c>
      <c r="L217" s="2"/>
      <c r="M217" t="str">
        <f t="shared" si="13"/>
        <v>insert into business_analytic.report.orenda values(2026, 1, '2021132400', 'Макарів,Фора-344 Ростовського,1', NULL, 23505586.22, 'TO');</v>
      </c>
      <c r="N217" t="str">
        <f t="shared" si="14"/>
        <v>insert into business_analytic.report.orenda values(2026, 2, '2021132400', 'Макарів,Фора-344 Ростовського,1', NULL, 21582579.71, 'TO');</v>
      </c>
      <c r="O217" t="str">
        <f t="shared" si="14"/>
        <v>insert into business_analytic.report.orenda values(2026, 3, '2021132400', 'Макарів,Фора-344 Ростовського,1', NULL, 24831029.6, 'TO');</v>
      </c>
      <c r="P217" t="str">
        <f t="shared" si="15"/>
        <v>insert into business_analytic.report.orenda values(2026, 4, '2021132400', 'Макарів,Фора-344 Ростовського,1', NULL, 25528001.08, 'TO');</v>
      </c>
      <c r="Q217" t="str">
        <f t="shared" si="16"/>
        <v>insert into business_analytic.report.orenda values(2026, 5, '2021132400', 'Макарів,Фора-344 Ростовського,1', NULL, 28355380.78, 'TO');</v>
      </c>
    </row>
    <row r="218" spans="1:17" x14ac:dyDescent="0.3">
      <c r="A218" t="s">
        <v>364</v>
      </c>
      <c r="B218" t="s">
        <v>1094</v>
      </c>
      <c r="C218" t="s">
        <v>1095</v>
      </c>
      <c r="D218" s="2">
        <v>23528115.329999998</v>
      </c>
      <c r="E218" s="2">
        <v>21882862.27</v>
      </c>
      <c r="F218" s="2">
        <v>24322098.249999996</v>
      </c>
      <c r="G218" s="2">
        <v>24209510.099999998</v>
      </c>
      <c r="H218" s="2">
        <v>24134249.739999998</v>
      </c>
      <c r="I218" s="2">
        <v>22402687.120000001</v>
      </c>
      <c r="J218" s="2">
        <v>8458064.620000001</v>
      </c>
      <c r="K218" s="2">
        <v>148937587.43000001</v>
      </c>
      <c r="L218" s="2"/>
      <c r="M218" t="str">
        <f t="shared" si="13"/>
        <v>insert into business_analytic.report.orenda values(2026, 1, '2021132500', 'Вишгород,Фора-345 Мазепи,2А', NULL, 23528115.33, 'TO');</v>
      </c>
      <c r="N218" t="str">
        <f t="shared" si="14"/>
        <v>insert into business_analytic.report.orenda values(2026, 2, '2021132500', 'Вишгород,Фора-345 Мазепи,2А', NULL, 21882862.27, 'TO');</v>
      </c>
      <c r="O218" t="str">
        <f t="shared" si="14"/>
        <v>insert into business_analytic.report.orenda values(2026, 3, '2021132500', 'Вишгород,Фора-345 Мазепи,2А', NULL, 24322098.25, 'TO');</v>
      </c>
      <c r="P218" t="str">
        <f t="shared" si="15"/>
        <v>insert into business_analytic.report.orenda values(2026, 4, '2021132500', 'Вишгород,Фора-345 Мазепи,2А', NULL, 24209510.1, 'TO');</v>
      </c>
      <c r="Q218" t="str">
        <f t="shared" si="16"/>
        <v>insert into business_analytic.report.orenda values(2026, 5, '2021132500', 'Вишгород,Фора-345 Мазепи,2А', NULL, 24134249.74, 'TO');</v>
      </c>
    </row>
    <row r="219" spans="1:17" x14ac:dyDescent="0.3">
      <c r="A219" t="s">
        <v>365</v>
      </c>
      <c r="B219" t="s">
        <v>1096</v>
      </c>
      <c r="C219" t="s">
        <v>1097</v>
      </c>
      <c r="D219" s="2">
        <v>12900720.949999999</v>
      </c>
      <c r="E219" s="2">
        <v>12443935.060000001</v>
      </c>
      <c r="F219" s="2">
        <v>14050219.57</v>
      </c>
      <c r="G219" s="2">
        <v>13707144.419999998</v>
      </c>
      <c r="H219" s="2">
        <v>15249243.329999998</v>
      </c>
      <c r="I219" s="2">
        <v>14215137.869999999</v>
      </c>
      <c r="J219" s="2">
        <v>4926091.8599999994</v>
      </c>
      <c r="K219" s="2">
        <v>87492493.060000002</v>
      </c>
      <c r="L219" s="2"/>
      <c r="M219" t="str">
        <f t="shared" si="13"/>
        <v>insert into business_analytic.report.orenda values(2026, 1, '2021132600', 'Чубинське,Фора-346 Бориспільська,8', NULL, 12900720.95, 'TO');</v>
      </c>
      <c r="N219" t="str">
        <f t="shared" si="14"/>
        <v>insert into business_analytic.report.orenda values(2026, 2, '2021132600', 'Чубинське,Фора-346 Бориспільська,8', NULL, 12443935.06, 'TO');</v>
      </c>
      <c r="O219" t="str">
        <f t="shared" si="14"/>
        <v>insert into business_analytic.report.orenda values(2026, 3, '2021132600', 'Чубинське,Фора-346 Бориспільська,8', NULL, 14050219.57, 'TO');</v>
      </c>
      <c r="P219" t="str">
        <f t="shared" si="15"/>
        <v>insert into business_analytic.report.orenda values(2026, 4, '2021132600', 'Чубинське,Фора-346 Бориспільська,8', NULL, 13707144.42, 'TO');</v>
      </c>
      <c r="Q219" t="str">
        <f t="shared" si="16"/>
        <v>insert into business_analytic.report.orenda values(2026, 5, '2021132600', 'Чубинське,Фора-346 Бориспільська,8', NULL, 15249243.33, 'TO');</v>
      </c>
    </row>
    <row r="220" spans="1:17" s="3" customFormat="1" x14ac:dyDescent="0.3">
      <c r="A220" t="s">
        <v>366</v>
      </c>
      <c r="B220" t="s">
        <v>1098</v>
      </c>
      <c r="C220" t="s">
        <v>1099</v>
      </c>
      <c r="D220" s="2">
        <v>15974519.17</v>
      </c>
      <c r="E220" s="2">
        <v>14617901.290000001</v>
      </c>
      <c r="F220" s="2">
        <v>16027345.35</v>
      </c>
      <c r="G220" s="2">
        <v>17221824.280000001</v>
      </c>
      <c r="H220" s="2">
        <v>17851578.740000002</v>
      </c>
      <c r="I220" s="2">
        <v>17900098.190000001</v>
      </c>
      <c r="J220" s="2">
        <v>7144638.6899999995</v>
      </c>
      <c r="K220" s="2">
        <v>106737905.71000001</v>
      </c>
      <c r="L220" s="2"/>
      <c r="M220" t="str">
        <f t="shared" si="13"/>
        <v>insert into business_analytic.report.orenda values(2026, 1, '2021132700', 'Богуслав,Фора-347 Шевченка,24', NULL, 15974519.17, 'TO');</v>
      </c>
      <c r="N220" t="str">
        <f t="shared" si="14"/>
        <v>insert into business_analytic.report.orenda values(2026, 2, '2021132700', 'Богуслав,Фора-347 Шевченка,24', NULL, 14617901.29, 'TO');</v>
      </c>
      <c r="O220" t="str">
        <f t="shared" si="14"/>
        <v>insert into business_analytic.report.orenda values(2026, 3, '2021132700', 'Богуслав,Фора-347 Шевченка,24', NULL, 16027345.35, 'TO');</v>
      </c>
      <c r="P220" t="str">
        <f t="shared" si="15"/>
        <v>insert into business_analytic.report.orenda values(2026, 4, '2021132700', 'Богуслав,Фора-347 Шевченка,24', NULL, 17221824.28, 'TO');</v>
      </c>
      <c r="Q220" t="str">
        <f t="shared" si="16"/>
        <v>insert into business_analytic.report.orenda values(2026, 5, '2021132700', 'Богуслав,Фора-347 Шевченка,24', NULL, 17851578.74, 'TO');</v>
      </c>
    </row>
    <row r="221" spans="1:17" x14ac:dyDescent="0.3">
      <c r="A221" t="s">
        <v>186</v>
      </c>
      <c r="B221" t="s">
        <v>1100</v>
      </c>
      <c r="C221" t="s">
        <v>1101</v>
      </c>
      <c r="D221" s="2">
        <v>20934831.489999998</v>
      </c>
      <c r="E221" s="2">
        <v>18916380.389999997</v>
      </c>
      <c r="F221" s="2">
        <v>21271713.07</v>
      </c>
      <c r="G221" s="2">
        <v>26723811.529999997</v>
      </c>
      <c r="H221" s="2">
        <v>32986517.559999999</v>
      </c>
      <c r="I221" s="2">
        <v>31202199.889999997</v>
      </c>
      <c r="J221" s="2">
        <v>12006867.459999999</v>
      </c>
      <c r="K221" s="2">
        <v>164042321.38999999</v>
      </c>
      <c r="L221" s="2"/>
      <c r="M221" t="str">
        <f t="shared" si="13"/>
        <v>insert into business_analytic.report.orenda values(2026, 1, '2021132800', 'Київ,Фора-348 Осьмака,1Б', NULL, 20934831.49, 'TO');</v>
      </c>
      <c r="N221" t="str">
        <f t="shared" si="14"/>
        <v>insert into business_analytic.report.orenda values(2026, 2, '2021132800', 'Київ,Фора-348 Осьмака,1Б', NULL, 18916380.39, 'TO');</v>
      </c>
      <c r="O221" t="str">
        <f t="shared" si="14"/>
        <v>insert into business_analytic.report.orenda values(2026, 3, '2021132800', 'Київ,Фора-348 Осьмака,1Б', NULL, 21271713.07, 'TO');</v>
      </c>
      <c r="P221" t="str">
        <f t="shared" si="15"/>
        <v>insert into business_analytic.report.orenda values(2026, 4, '2021132800', 'Київ,Фора-348 Осьмака,1Б', NULL, 26723811.53, 'TO');</v>
      </c>
      <c r="Q221" t="str">
        <f t="shared" si="16"/>
        <v>insert into business_analytic.report.orenda values(2026, 5, '2021132800', 'Київ,Фора-348 Осьмака,1Б', NULL, 32986517.56, 'TO');</v>
      </c>
    </row>
    <row r="222" spans="1:17" x14ac:dyDescent="0.3">
      <c r="A222" t="s">
        <v>38</v>
      </c>
      <c r="B222" t="s">
        <v>509</v>
      </c>
      <c r="C222" t="s">
        <v>802</v>
      </c>
      <c r="D222" s="2">
        <v>16948965.189999998</v>
      </c>
      <c r="E222" s="2">
        <v>14103299.59</v>
      </c>
      <c r="F222" s="2">
        <v>16704833.749999998</v>
      </c>
      <c r="G222" s="2">
        <v>17046153.269999996</v>
      </c>
      <c r="H222" s="2">
        <v>17300763.100000001</v>
      </c>
      <c r="I222" s="2">
        <v>16526436.310000001</v>
      </c>
      <c r="J222" s="2">
        <v>6141702.1500000004</v>
      </c>
      <c r="K222" s="2">
        <v>104772153.36</v>
      </c>
      <c r="L222" s="2"/>
      <c r="M222" t="str">
        <f t="shared" si="13"/>
        <v>insert into business_analytic.report.orenda values(2026, 1, '2021132900', 'Славутич,Фора-349 Поліський квартал,60', NULL, 16948965.19, 'TO');</v>
      </c>
      <c r="N222" t="str">
        <f t="shared" si="14"/>
        <v>insert into business_analytic.report.orenda values(2026, 2, '2021132900', 'Славутич,Фора-349 Поліський квартал,60', NULL, 14103299.59, 'TO');</v>
      </c>
      <c r="O222" t="str">
        <f t="shared" si="14"/>
        <v>insert into business_analytic.report.orenda values(2026, 3, '2021132900', 'Славутич,Фора-349 Поліський квартал,60', NULL, 16704833.75, 'TO');</v>
      </c>
      <c r="P222" t="str">
        <f t="shared" si="15"/>
        <v>insert into business_analytic.report.orenda values(2026, 4, '2021132900', 'Славутич,Фора-349 Поліський квартал,60', NULL, 17046153.27, 'TO');</v>
      </c>
      <c r="Q222" t="str">
        <f t="shared" si="16"/>
        <v>insert into business_analytic.report.orenda values(2026, 5, '2021132900', 'Славутич,Фора-349 Поліський квартал,60', NULL, 17300763.1, 'TO');</v>
      </c>
    </row>
    <row r="223" spans="1:17" x14ac:dyDescent="0.3">
      <c r="A223" t="s">
        <v>367</v>
      </c>
      <c r="B223" t="s">
        <v>1102</v>
      </c>
      <c r="C223" t="s">
        <v>1103</v>
      </c>
      <c r="D223" s="2">
        <v>18931126.869999997</v>
      </c>
      <c r="E223" s="2">
        <v>18303598.629999999</v>
      </c>
      <c r="F223" s="2">
        <v>20968611.27</v>
      </c>
      <c r="G223" s="2">
        <v>19875000.169999998</v>
      </c>
      <c r="H223" s="2">
        <v>21632603.349999998</v>
      </c>
      <c r="I223" s="2">
        <v>20853661.84</v>
      </c>
      <c r="J223" s="2">
        <v>7616093.54</v>
      </c>
      <c r="K223" s="2">
        <v>128180695.67</v>
      </c>
      <c r="L223" s="2"/>
      <c r="M223" t="str">
        <f t="shared" si="13"/>
        <v>insert into business_analytic.report.orenda values(2026, 1, '2021133000', 'Крюківщина,Фора-350 Одеська,70', NULL, 18931126.87, 'TO');</v>
      </c>
      <c r="N223" t="str">
        <f t="shared" si="14"/>
        <v>insert into business_analytic.report.orenda values(2026, 2, '2021133000', 'Крюківщина,Фора-350 Одеська,70', NULL, 18303598.63, 'TO');</v>
      </c>
      <c r="O223" t="str">
        <f t="shared" si="14"/>
        <v>insert into business_analytic.report.orenda values(2026, 3, '2021133000', 'Крюківщина,Фора-350 Одеська,70', NULL, 20968611.27, 'TO');</v>
      </c>
      <c r="P223" t="str">
        <f t="shared" si="15"/>
        <v>insert into business_analytic.report.orenda values(2026, 4, '2021133000', 'Крюківщина,Фора-350 Одеська,70', NULL, 19875000.17, 'TO');</v>
      </c>
      <c r="Q223" t="str">
        <f t="shared" si="16"/>
        <v>insert into business_analytic.report.orenda values(2026, 5, '2021133000', 'Крюківщина,Фора-350 Одеська,70', NULL, 21632603.35, 'TO');</v>
      </c>
    </row>
    <row r="224" spans="1:17" x14ac:dyDescent="0.3">
      <c r="A224" t="s">
        <v>368</v>
      </c>
      <c r="B224" t="s">
        <v>1104</v>
      </c>
      <c r="C224" t="s">
        <v>1105</v>
      </c>
      <c r="D224" s="2">
        <v>18746854.649999999</v>
      </c>
      <c r="E224" s="2">
        <v>17358652.27</v>
      </c>
      <c r="F224" s="2">
        <v>21284353.610000003</v>
      </c>
      <c r="G224" s="2">
        <v>22068395.509999998</v>
      </c>
      <c r="H224" s="2">
        <v>26674008.529999994</v>
      </c>
      <c r="I224" s="2">
        <v>27126316.509999998</v>
      </c>
      <c r="J224" s="2">
        <v>10321558.549999999</v>
      </c>
      <c r="K224" s="2">
        <v>143580139.63</v>
      </c>
      <c r="L224" s="2"/>
      <c r="M224" t="str">
        <f t="shared" si="13"/>
        <v>insert into business_analytic.report.orenda values(2026, 1, '2021133100', 'Гнідин,Фора-351 Олександрівська,56', NULL, 18746854.65, 'TO');</v>
      </c>
      <c r="N224" t="str">
        <f t="shared" si="14"/>
        <v>insert into business_analytic.report.orenda values(2026, 2, '2021133100', 'Гнідин,Фора-351 Олександрівська,56', NULL, 17358652.27, 'TO');</v>
      </c>
      <c r="O224" t="str">
        <f t="shared" si="14"/>
        <v>insert into business_analytic.report.orenda values(2026, 3, '2021133100', 'Гнідин,Фора-351 Олександрівська,56', NULL, 21284353.61, 'TO');</v>
      </c>
      <c r="P224" t="str">
        <f t="shared" si="15"/>
        <v>insert into business_analytic.report.orenda values(2026, 4, '2021133100', 'Гнідин,Фора-351 Олександрівська,56', NULL, 22068395.51, 'TO');</v>
      </c>
      <c r="Q224" t="str">
        <f t="shared" si="16"/>
        <v>insert into business_analytic.report.orenda values(2026, 5, '2021133100', 'Гнідин,Фора-351 Олександрівська,56', NULL, 26674008.53, 'TO');</v>
      </c>
    </row>
    <row r="225" spans="1:17" x14ac:dyDescent="0.3">
      <c r="A225" t="s">
        <v>369</v>
      </c>
      <c r="B225" t="s">
        <v>1106</v>
      </c>
      <c r="C225" t="s">
        <v>1107</v>
      </c>
      <c r="D225" s="2">
        <v>13536432.07</v>
      </c>
      <c r="E225" s="2">
        <v>13126232.149999999</v>
      </c>
      <c r="F225" s="2">
        <v>15471225.880000001</v>
      </c>
      <c r="G225" s="2">
        <v>15351299.470000001</v>
      </c>
      <c r="H225" s="2">
        <v>17134106.499999996</v>
      </c>
      <c r="I225" s="2">
        <v>18318287.789999999</v>
      </c>
      <c r="J225" s="2">
        <v>6494058.5199999996</v>
      </c>
      <c r="K225" s="2">
        <v>99431642.38000001</v>
      </c>
      <c r="L225" s="2"/>
      <c r="M225" t="str">
        <f t="shared" si="13"/>
        <v>insert into business_analytic.report.orenda values(2026, 1, '2021133200', 'Гостомель,Фора-352 Садова,2', NULL, 13536432.07, 'TO');</v>
      </c>
      <c r="N225" t="str">
        <f t="shared" si="14"/>
        <v>insert into business_analytic.report.orenda values(2026, 2, '2021133200', 'Гостомель,Фора-352 Садова,2', NULL, 13126232.15, 'TO');</v>
      </c>
      <c r="O225" t="str">
        <f t="shared" si="14"/>
        <v>insert into business_analytic.report.orenda values(2026, 3, '2021133200', 'Гостомель,Фора-352 Садова,2', NULL, 15471225.88, 'TO');</v>
      </c>
      <c r="P225" t="str">
        <f t="shared" si="15"/>
        <v>insert into business_analytic.report.orenda values(2026, 4, '2021133200', 'Гостомель,Фора-352 Садова,2', NULL, 15351299.47, 'TO');</v>
      </c>
      <c r="Q225" t="str">
        <f t="shared" si="16"/>
        <v>insert into business_analytic.report.orenda values(2026, 5, '2021133200', 'Гостомель,Фора-352 Садова,2', NULL, 17134106.5, 'TO');</v>
      </c>
    </row>
    <row r="226" spans="1:17" x14ac:dyDescent="0.3">
      <c r="A226" t="s">
        <v>370</v>
      </c>
      <c r="B226" t="s">
        <v>1108</v>
      </c>
      <c r="C226" t="s">
        <v>1109</v>
      </c>
      <c r="D226" s="2">
        <v>11142842.950000001</v>
      </c>
      <c r="E226" s="2">
        <v>10929735.549999999</v>
      </c>
      <c r="F226" s="2">
        <v>11772017.870000001</v>
      </c>
      <c r="G226" s="2">
        <v>11508551.699999999</v>
      </c>
      <c r="H226" s="2">
        <v>12205363.960000001</v>
      </c>
      <c r="I226" s="2">
        <v>11320052.409999998</v>
      </c>
      <c r="J226" s="2">
        <v>4382276.93</v>
      </c>
      <c r="K226" s="2">
        <v>73260841.370000005</v>
      </c>
      <c r="L226" s="2"/>
      <c r="M226" t="str">
        <f t="shared" si="13"/>
        <v>insert into business_analytic.report.orenda values(2026, 1, '2021133300', 'Бориспіль,Фора-353 Київський шлях,60', NULL, 11142842.95, 'TO');</v>
      </c>
      <c r="N226" t="str">
        <f t="shared" si="14"/>
        <v>insert into business_analytic.report.orenda values(2026, 2, '2021133300', 'Бориспіль,Фора-353 Київський шлях,60', NULL, 10929735.55, 'TO');</v>
      </c>
      <c r="O226" t="str">
        <f t="shared" si="14"/>
        <v>insert into business_analytic.report.orenda values(2026, 3, '2021133300', 'Бориспіль,Фора-353 Київський шлях,60', NULL, 11772017.87, 'TO');</v>
      </c>
      <c r="P226" t="str">
        <f t="shared" si="15"/>
        <v>insert into business_analytic.report.orenda values(2026, 4, '2021133300', 'Бориспіль,Фора-353 Київський шлях,60', NULL, 11508551.7, 'TO');</v>
      </c>
      <c r="Q226" t="str">
        <f t="shared" si="16"/>
        <v>insert into business_analytic.report.orenda values(2026, 5, '2021133300', 'Бориспіль,Фора-353 Київський шлях,60', NULL, 12205363.96, 'TO');</v>
      </c>
    </row>
    <row r="227" spans="1:17" x14ac:dyDescent="0.3">
      <c r="A227" t="s">
        <v>371</v>
      </c>
      <c r="B227" t="s">
        <v>1110</v>
      </c>
      <c r="C227" t="s">
        <v>1111</v>
      </c>
      <c r="D227" s="2">
        <v>12563752.24</v>
      </c>
      <c r="E227" s="2">
        <v>11706554.439999999</v>
      </c>
      <c r="F227" s="2">
        <v>13957760.6</v>
      </c>
      <c r="G227" s="2">
        <v>14180299.189999998</v>
      </c>
      <c r="H227" s="2">
        <v>17133512.879999999</v>
      </c>
      <c r="I227" s="2">
        <v>17445910.729999997</v>
      </c>
      <c r="J227" s="2">
        <v>6535270.9299999997</v>
      </c>
      <c r="K227" s="2">
        <v>93523061.00999999</v>
      </c>
      <c r="L227" s="2"/>
      <c r="M227" t="str">
        <f t="shared" si="13"/>
        <v>insert into business_analytic.report.orenda values(2026, 1, '2021133400', 'Лісники,Фора-354 Родини Рубанів,164А', NULL, 12563752.24, 'TO');</v>
      </c>
      <c r="N227" t="str">
        <f t="shared" si="14"/>
        <v>insert into business_analytic.report.orenda values(2026, 2, '2021133400', 'Лісники,Фора-354 Родини Рубанів,164А', NULL, 11706554.44, 'TO');</v>
      </c>
      <c r="O227" t="str">
        <f t="shared" si="14"/>
        <v>insert into business_analytic.report.orenda values(2026, 3, '2021133400', 'Лісники,Фора-354 Родини Рубанів,164А', NULL, 13957760.6, 'TO');</v>
      </c>
      <c r="P227" t="str">
        <f t="shared" si="15"/>
        <v>insert into business_analytic.report.orenda values(2026, 4, '2021133400', 'Лісники,Фора-354 Родини Рубанів,164А', NULL, 14180299.19, 'TO');</v>
      </c>
      <c r="Q227" t="str">
        <f t="shared" si="16"/>
        <v>insert into business_analytic.report.orenda values(2026, 5, '2021133400', 'Лісники,Фора-354 Родини Рубанів,164А', NULL, 17133512.88, 'TO');</v>
      </c>
    </row>
    <row r="228" spans="1:17" x14ac:dyDescent="0.3">
      <c r="A228" t="s">
        <v>372</v>
      </c>
      <c r="B228" t="s">
        <v>1112</v>
      </c>
      <c r="C228" t="s">
        <v>1113</v>
      </c>
      <c r="D228" s="2">
        <v>21776941.509999998</v>
      </c>
      <c r="E228" s="2">
        <v>17499931.890000001</v>
      </c>
      <c r="F228" s="2">
        <v>18823942.059999999</v>
      </c>
      <c r="G228" s="2">
        <v>19862108.129999999</v>
      </c>
      <c r="H228" s="2">
        <v>20610378.409999996</v>
      </c>
      <c r="I228" s="2">
        <v>19934929.059999999</v>
      </c>
      <c r="J228" s="2">
        <v>8278446.5499999989</v>
      </c>
      <c r="K228" s="2">
        <v>126786677.60999997</v>
      </c>
      <c r="L228" s="2"/>
      <c r="M228" t="str">
        <f t="shared" si="13"/>
        <v>insert into business_analytic.report.orenda values(2026, 1, '2021133500', 'Іванків,Фора-355 Габорака,32', NULL, 21776941.51, 'TO');</v>
      </c>
      <c r="N228" t="str">
        <f t="shared" si="14"/>
        <v>insert into business_analytic.report.orenda values(2026, 2, '2021133500', 'Іванків,Фора-355 Габорака,32', NULL, 17499931.89, 'TO');</v>
      </c>
      <c r="O228" t="str">
        <f t="shared" si="14"/>
        <v>insert into business_analytic.report.orenda values(2026, 3, '2021133500', 'Іванків,Фора-355 Габорака,32', NULL, 18823942.06, 'TO');</v>
      </c>
      <c r="P228" t="str">
        <f t="shared" si="15"/>
        <v>insert into business_analytic.report.orenda values(2026, 4, '2021133500', 'Іванків,Фора-355 Габорака,32', NULL, 19862108.13, 'TO');</v>
      </c>
      <c r="Q228" t="str">
        <f t="shared" si="16"/>
        <v>insert into business_analytic.report.orenda values(2026, 5, '2021133500', 'Іванків,Фора-355 Габорака,32', NULL, 20610378.41, 'TO');</v>
      </c>
    </row>
    <row r="229" spans="1:17" x14ac:dyDescent="0.3">
      <c r="A229" t="s">
        <v>373</v>
      </c>
      <c r="B229" t="s">
        <v>1114</v>
      </c>
      <c r="C229" t="s">
        <v>1115</v>
      </c>
      <c r="D229" s="2">
        <v>22895922.159999996</v>
      </c>
      <c r="E229" s="2">
        <v>21765410.25</v>
      </c>
      <c r="F229" s="2">
        <v>23755999.400000002</v>
      </c>
      <c r="G229" s="2">
        <v>23577771.27</v>
      </c>
      <c r="H229" s="2">
        <v>25165223.93</v>
      </c>
      <c r="I229" s="2">
        <v>24115683.599999998</v>
      </c>
      <c r="J229" s="2">
        <v>8901863.0999999996</v>
      </c>
      <c r="K229" s="2">
        <v>150177873.71000001</v>
      </c>
      <c r="L229" s="2"/>
      <c r="M229" t="str">
        <f t="shared" si="13"/>
        <v>insert into business_analytic.report.orenda values(2026, 1, '2021133600', 'Боярка,Фора-356 Михайлівська,6', NULL, 22895922.16, 'TO');</v>
      </c>
      <c r="N229" t="str">
        <f t="shared" si="14"/>
        <v>insert into business_analytic.report.orenda values(2026, 2, '2021133600', 'Боярка,Фора-356 Михайлівська,6', NULL, 21765410.25, 'TO');</v>
      </c>
      <c r="O229" t="str">
        <f t="shared" si="14"/>
        <v>insert into business_analytic.report.orenda values(2026, 3, '2021133600', 'Боярка,Фора-356 Михайлівська,6', NULL, 23755999.4, 'TO');</v>
      </c>
      <c r="P229" t="str">
        <f t="shared" si="15"/>
        <v>insert into business_analytic.report.orenda values(2026, 4, '2021133600', 'Боярка,Фора-356 Михайлівська,6', NULL, 23577771.27, 'TO');</v>
      </c>
      <c r="Q229" t="str">
        <f t="shared" si="16"/>
        <v>insert into business_analytic.report.orenda values(2026, 5, '2021133600', 'Боярка,Фора-356 Михайлівська,6', NULL, 25165223.93, 'TO');</v>
      </c>
    </row>
    <row r="230" spans="1:17" x14ac:dyDescent="0.3">
      <c r="A230" t="s">
        <v>187</v>
      </c>
      <c r="B230" t="s">
        <v>510</v>
      </c>
      <c r="C230" t="s">
        <v>803</v>
      </c>
      <c r="D230" s="2">
        <v>15071151.640000001</v>
      </c>
      <c r="E230" s="2">
        <v>15039813.649999999</v>
      </c>
      <c r="F230" s="2">
        <v>15657076.059999999</v>
      </c>
      <c r="G230" s="2">
        <v>15309264.879999999</v>
      </c>
      <c r="H230" s="2">
        <v>15234661.82</v>
      </c>
      <c r="I230" s="2">
        <v>14374251.059999999</v>
      </c>
      <c r="J230" s="2">
        <v>5366251.91</v>
      </c>
      <c r="K230" s="2">
        <v>96052471.020000011</v>
      </c>
      <c r="L230" s="2"/>
      <c r="M230" t="str">
        <f t="shared" si="13"/>
        <v>insert into business_analytic.report.orenda values(2026, 1, '2021133700', 'Бориспіль,Фора-357 Київський шлях,14Ж', NULL, 15071151.64, 'TO');</v>
      </c>
      <c r="N230" t="str">
        <f t="shared" si="14"/>
        <v>insert into business_analytic.report.orenda values(2026, 2, '2021133700', 'Бориспіль,Фора-357 Київський шлях,14Ж', NULL, 15039813.65, 'TO');</v>
      </c>
      <c r="O230" t="str">
        <f t="shared" si="14"/>
        <v>insert into business_analytic.report.orenda values(2026, 3, '2021133700', 'Бориспіль,Фора-357 Київський шлях,14Ж', NULL, 15657076.06, 'TO');</v>
      </c>
      <c r="P230" t="str">
        <f t="shared" si="15"/>
        <v>insert into business_analytic.report.orenda values(2026, 4, '2021133700', 'Бориспіль,Фора-357 Київський шлях,14Ж', NULL, 15309264.88, 'TO');</v>
      </c>
      <c r="Q230" t="str">
        <f t="shared" si="16"/>
        <v>insert into business_analytic.report.orenda values(2026, 5, '2021133700', 'Бориспіль,Фора-357 Київський шлях,14Ж', NULL, 15234661.82, 'TO');</v>
      </c>
    </row>
    <row r="231" spans="1:17" x14ac:dyDescent="0.3">
      <c r="A231" t="s">
        <v>374</v>
      </c>
      <c r="B231" t="s">
        <v>1116</v>
      </c>
      <c r="C231" t="s">
        <v>1117</v>
      </c>
      <c r="D231" s="2">
        <v>16571112.16</v>
      </c>
      <c r="E231" s="2">
        <v>16070941.539999999</v>
      </c>
      <c r="F231" s="2">
        <v>18810691.319999997</v>
      </c>
      <c r="G231" s="2">
        <v>18544243.43</v>
      </c>
      <c r="H231" s="2">
        <v>20815144.499999996</v>
      </c>
      <c r="I231" s="2">
        <v>19746983.43</v>
      </c>
      <c r="J231" s="2">
        <v>7263498.0099999998</v>
      </c>
      <c r="K231" s="2">
        <v>117822614.38999999</v>
      </c>
      <c r="L231" s="2"/>
      <c r="M231" t="str">
        <f t="shared" si="13"/>
        <v>insert into business_analytic.report.orenda values(2026, 1, '2021133800', 'Новосілки,Фора-358 Приміська,26', NULL, 16571112.16, 'TO');</v>
      </c>
      <c r="N231" t="str">
        <f t="shared" si="14"/>
        <v>insert into business_analytic.report.orenda values(2026, 2, '2021133800', 'Новосілки,Фора-358 Приміська,26', NULL, 16070941.54, 'TO');</v>
      </c>
      <c r="O231" t="str">
        <f t="shared" si="14"/>
        <v>insert into business_analytic.report.orenda values(2026, 3, '2021133800', 'Новосілки,Фора-358 Приміська,26', NULL, 18810691.32, 'TO');</v>
      </c>
      <c r="P231" t="str">
        <f t="shared" si="15"/>
        <v>insert into business_analytic.report.orenda values(2026, 4, '2021133800', 'Новосілки,Фора-358 Приміська,26', NULL, 18544243.43, 'TO');</v>
      </c>
      <c r="Q231" t="str">
        <f t="shared" si="16"/>
        <v>insert into business_analytic.report.orenda values(2026, 5, '2021133800', 'Новосілки,Фора-358 Приміська,26', NULL, 20815144.5, 'TO');</v>
      </c>
    </row>
    <row r="232" spans="1:17" x14ac:dyDescent="0.3">
      <c r="A232" t="s">
        <v>375</v>
      </c>
      <c r="B232" t="s">
        <v>1118</v>
      </c>
      <c r="C232" t="s">
        <v>1119</v>
      </c>
      <c r="D232" s="2">
        <v>18010368.509999998</v>
      </c>
      <c r="E232" s="2">
        <v>17265603.879999999</v>
      </c>
      <c r="F232" s="2">
        <v>19064186.210000001</v>
      </c>
      <c r="G232" s="2">
        <v>18278845.830000002</v>
      </c>
      <c r="H232" s="2">
        <v>19617147.52</v>
      </c>
      <c r="I232" s="2">
        <v>18812686.349999998</v>
      </c>
      <c r="J232" s="2">
        <v>6996330.6099999994</v>
      </c>
      <c r="K232" s="2">
        <v>118045168.91000001</v>
      </c>
      <c r="L232" s="2"/>
      <c r="M232" t="str">
        <f t="shared" si="13"/>
        <v>insert into business_analytic.report.orenda values(2026, 1, '2021133900', 'Чабани,Фора-359 Машинобудівників,5Д', NULL, 18010368.51, 'TO');</v>
      </c>
      <c r="N232" t="str">
        <f t="shared" si="14"/>
        <v>insert into business_analytic.report.orenda values(2026, 2, '2021133900', 'Чабани,Фора-359 Машинобудівників,5Д', NULL, 17265603.88, 'TO');</v>
      </c>
      <c r="O232" t="str">
        <f t="shared" si="14"/>
        <v>insert into business_analytic.report.orenda values(2026, 3, '2021133900', 'Чабани,Фора-359 Машинобудівників,5Д', NULL, 19064186.21, 'TO');</v>
      </c>
      <c r="P232" t="str">
        <f t="shared" si="15"/>
        <v>insert into business_analytic.report.orenda values(2026, 4, '2021133900', 'Чабани,Фора-359 Машинобудівників,5Д', NULL, 18278845.83, 'TO');</v>
      </c>
      <c r="Q232" t="str">
        <f t="shared" si="16"/>
        <v>insert into business_analytic.report.orenda values(2026, 5, '2021133900', 'Чабани,Фора-359 Машинобудівників,5Д', NULL, 19617147.52, 'TO');</v>
      </c>
    </row>
    <row r="233" spans="1:17" x14ac:dyDescent="0.3">
      <c r="A233" t="s">
        <v>376</v>
      </c>
      <c r="B233" t="s">
        <v>1120</v>
      </c>
      <c r="C233" t="s">
        <v>1121</v>
      </c>
      <c r="D233" s="2">
        <v>13227649.609999999</v>
      </c>
      <c r="E233" s="2">
        <v>12122153.08</v>
      </c>
      <c r="F233" s="2">
        <v>14369603.470000001</v>
      </c>
      <c r="G233" s="2">
        <v>14945139.280000001</v>
      </c>
      <c r="H233" s="2">
        <v>16722628.999999998</v>
      </c>
      <c r="I233" s="2">
        <v>16672073.029999999</v>
      </c>
      <c r="J233" s="2">
        <v>6684415.3799999999</v>
      </c>
      <c r="K233" s="2">
        <v>94743662.849999994</v>
      </c>
      <c r="L233" s="2"/>
      <c r="M233" t="str">
        <f t="shared" si="13"/>
        <v>insert into business_analytic.report.orenda values(2026, 1, '2021134000', 'Катюжанка,Фора-360 Київська,60', NULL, 13227649.61, 'TO');</v>
      </c>
      <c r="N233" t="str">
        <f t="shared" si="14"/>
        <v>insert into business_analytic.report.orenda values(2026, 2, '2021134000', 'Катюжанка,Фора-360 Київська,60', NULL, 12122153.08, 'TO');</v>
      </c>
      <c r="O233" t="str">
        <f t="shared" si="14"/>
        <v>insert into business_analytic.report.orenda values(2026, 3, '2021134000', 'Катюжанка,Фора-360 Київська,60', NULL, 14369603.47, 'TO');</v>
      </c>
      <c r="P233" t="str">
        <f t="shared" si="15"/>
        <v>insert into business_analytic.report.orenda values(2026, 4, '2021134000', 'Катюжанка,Фора-360 Київська,60', NULL, 14945139.28, 'TO');</v>
      </c>
      <c r="Q233" t="str">
        <f t="shared" si="16"/>
        <v>insert into business_analytic.report.orenda values(2026, 5, '2021134000', 'Катюжанка,Фора-360 Київська,60', NULL, 16722629, 'TO');</v>
      </c>
    </row>
    <row r="234" spans="1:17" x14ac:dyDescent="0.3">
      <c r="A234" t="s">
        <v>377</v>
      </c>
      <c r="B234" t="s">
        <v>1122</v>
      </c>
      <c r="C234" t="s">
        <v>422</v>
      </c>
      <c r="D234" s="2">
        <v>11328640.630000001</v>
      </c>
      <c r="E234" s="2">
        <v>10649711.620000001</v>
      </c>
      <c r="F234" s="2">
        <v>12120971.23</v>
      </c>
      <c r="G234" s="2">
        <v>11939843.699999997</v>
      </c>
      <c r="H234" s="2">
        <v>13303956.409999998</v>
      </c>
      <c r="I234" s="2">
        <v>12721845.029999999</v>
      </c>
      <c r="J234" s="2">
        <v>4744390.3899999997</v>
      </c>
      <c r="K234" s="2">
        <v>76809359.00999999</v>
      </c>
      <c r="L234" s="2"/>
      <c r="M234" t="str">
        <f t="shared" si="13"/>
        <v>insert into business_analytic.report.orenda values(2026, 1, '2021134100', 'ПетрБорщагівка,Фора-361 Соборна,16', NULL, 11328640.63, 'TO');</v>
      </c>
      <c r="N234" t="str">
        <f t="shared" si="14"/>
        <v>insert into business_analytic.report.orenda values(2026, 2, '2021134100', 'ПетрБорщагівка,Фора-361 Соборна,16', NULL, 10649711.62, 'TO');</v>
      </c>
      <c r="O234" t="str">
        <f t="shared" si="14"/>
        <v>insert into business_analytic.report.orenda values(2026, 3, '2021134100', 'ПетрБорщагівка,Фора-361 Соборна,16', NULL, 12120971.23, 'TO');</v>
      </c>
      <c r="P234" t="str">
        <f t="shared" si="15"/>
        <v>insert into business_analytic.report.orenda values(2026, 4, '2021134100', 'ПетрБорщагівка,Фора-361 Соборна,16', NULL, 11939843.7, 'TO');</v>
      </c>
      <c r="Q234" t="str">
        <f t="shared" si="16"/>
        <v>insert into business_analytic.report.orenda values(2026, 5, '2021134100', 'ПетрБорщагівка,Фора-361 Соборна,16', NULL, 13303956.41, 'TO');</v>
      </c>
    </row>
    <row r="235" spans="1:17" x14ac:dyDescent="0.3">
      <c r="A235" t="s">
        <v>378</v>
      </c>
      <c r="B235" t="s">
        <v>1123</v>
      </c>
      <c r="C235" t="s">
        <v>1124</v>
      </c>
      <c r="D235" s="2">
        <v>15021187.619999999</v>
      </c>
      <c r="E235" s="2">
        <v>14599833.42</v>
      </c>
      <c r="F235" s="2">
        <v>16854139.199999999</v>
      </c>
      <c r="G235" s="2">
        <v>17091023.91</v>
      </c>
      <c r="H235" s="2">
        <v>18907943.879999995</v>
      </c>
      <c r="I235" s="2">
        <v>17515518.119999997</v>
      </c>
      <c r="J235" s="2">
        <v>6633904.2799999993</v>
      </c>
      <c r="K235" s="2">
        <v>106623550.42999999</v>
      </c>
      <c r="L235" s="2"/>
      <c r="M235" t="str">
        <f t="shared" si="13"/>
        <v>insert into business_analytic.report.orenda values(2026, 1, '2021134200', 'Хотів,Фора-362 Шевченка,11', NULL, 15021187.62, 'TO');</v>
      </c>
      <c r="N235" t="str">
        <f t="shared" si="14"/>
        <v>insert into business_analytic.report.orenda values(2026, 2, '2021134200', 'Хотів,Фора-362 Шевченка,11', NULL, 14599833.42, 'TO');</v>
      </c>
      <c r="O235" t="str">
        <f t="shared" si="14"/>
        <v>insert into business_analytic.report.orenda values(2026, 3, '2021134200', 'Хотів,Фора-362 Шевченка,11', NULL, 16854139.2, 'TO');</v>
      </c>
      <c r="P235" t="str">
        <f t="shared" si="15"/>
        <v>insert into business_analytic.report.orenda values(2026, 4, '2021134200', 'Хотів,Фора-362 Шевченка,11', NULL, 17091023.91, 'TO');</v>
      </c>
      <c r="Q235" t="str">
        <f t="shared" si="16"/>
        <v>insert into business_analytic.report.orenda values(2026, 5, '2021134200', 'Хотів,Фора-362 Шевченка,11', NULL, 18907943.88, 'TO');</v>
      </c>
    </row>
    <row r="236" spans="1:17" x14ac:dyDescent="0.3">
      <c r="A236" t="s">
        <v>39</v>
      </c>
      <c r="B236" t="s">
        <v>511</v>
      </c>
      <c r="C236" t="s">
        <v>804</v>
      </c>
      <c r="D236" s="2">
        <v>25871472.710000001</v>
      </c>
      <c r="E236" s="2">
        <v>25935448.389999997</v>
      </c>
      <c r="F236" s="2">
        <v>29609732.57</v>
      </c>
      <c r="G236" s="2">
        <v>28475372.839999996</v>
      </c>
      <c r="H236" s="2">
        <v>30011921.349999998</v>
      </c>
      <c r="I236" s="2">
        <v>28183072.479999997</v>
      </c>
      <c r="J236" s="2">
        <v>10278251.439999999</v>
      </c>
      <c r="K236" s="2">
        <v>178365271.77999997</v>
      </c>
      <c r="L236" s="2"/>
      <c r="M236" t="str">
        <f t="shared" si="13"/>
        <v>insert into business_analytic.report.orenda values(2026, 1, '2021134300', 'Київ,Фора-364 Тираспольська,56', NULL, 25871472.71, 'TO');</v>
      </c>
      <c r="N236" t="str">
        <f t="shared" si="14"/>
        <v>insert into business_analytic.report.orenda values(2026, 2, '2021134300', 'Київ,Фора-364 Тираспольська,56', NULL, 25935448.39, 'TO');</v>
      </c>
      <c r="O236" t="str">
        <f t="shared" si="14"/>
        <v>insert into business_analytic.report.orenda values(2026, 3, '2021134300', 'Київ,Фора-364 Тираспольська,56', NULL, 29609732.57, 'TO');</v>
      </c>
      <c r="P236" t="str">
        <f t="shared" si="15"/>
        <v>insert into business_analytic.report.orenda values(2026, 4, '2021134300', 'Київ,Фора-364 Тираспольська,56', NULL, 28475372.84, 'TO');</v>
      </c>
      <c r="Q236" t="str">
        <f t="shared" si="16"/>
        <v>insert into business_analytic.report.orenda values(2026, 5, '2021134300', 'Київ,Фора-364 Тираспольська,56', NULL, 30011921.35, 'TO');</v>
      </c>
    </row>
    <row r="237" spans="1:17" x14ac:dyDescent="0.3">
      <c r="A237" t="s">
        <v>379</v>
      </c>
      <c r="B237" t="s">
        <v>1125</v>
      </c>
      <c r="C237" t="s">
        <v>1126</v>
      </c>
      <c r="D237" s="2">
        <v>6432610.4299999997</v>
      </c>
      <c r="E237" s="2">
        <v>6028923.2299999995</v>
      </c>
      <c r="F237" s="2">
        <v>7088975.2000000002</v>
      </c>
      <c r="G237" s="2">
        <v>7067593.7599999998</v>
      </c>
      <c r="H237" s="2">
        <v>8103082.7299999995</v>
      </c>
      <c r="I237" s="2">
        <v>7930301.8100000005</v>
      </c>
      <c r="J237" s="2">
        <v>2977356.35</v>
      </c>
      <c r="K237" s="2">
        <v>45628843.509999998</v>
      </c>
      <c r="L237" s="2"/>
      <c r="M237" t="str">
        <f t="shared" si="13"/>
        <v>insert into business_analytic.report.orenda values(2026, 1, '2021134400', 'Погреби,Фора-366 Погребський шлях,39', NULL, 6432610.43, 'TO');</v>
      </c>
      <c r="N237" t="str">
        <f t="shared" si="14"/>
        <v>insert into business_analytic.report.orenda values(2026, 2, '2021134400', 'Погреби,Фора-366 Погребський шлях,39', NULL, 6028923.23, 'TO');</v>
      </c>
      <c r="O237" t="str">
        <f t="shared" si="14"/>
        <v>insert into business_analytic.report.orenda values(2026, 3, '2021134400', 'Погреби,Фора-366 Погребський шлях,39', NULL, 7088975.2, 'TO');</v>
      </c>
      <c r="P237" t="str">
        <f t="shared" si="15"/>
        <v>insert into business_analytic.report.orenda values(2026, 4, '2021134400', 'Погреби,Фора-366 Погребський шлях,39', NULL, 7067593.76, 'TO');</v>
      </c>
      <c r="Q237" t="str">
        <f t="shared" si="16"/>
        <v>insert into business_analytic.report.orenda values(2026, 5, '2021134400', 'Погреби,Фора-366 Погребський шлях,39', NULL, 8103082.73, 'TO');</v>
      </c>
    </row>
    <row r="238" spans="1:17" x14ac:dyDescent="0.3">
      <c r="A238" t="s">
        <v>380</v>
      </c>
      <c r="B238" t="s">
        <v>1127</v>
      </c>
      <c r="C238" t="s">
        <v>1128</v>
      </c>
      <c r="D238" s="2">
        <v>15160364.569999998</v>
      </c>
      <c r="E238" s="2">
        <v>13875256.959999999</v>
      </c>
      <c r="F238" s="2">
        <v>16517337.42</v>
      </c>
      <c r="G238" s="2">
        <v>14934518.6</v>
      </c>
      <c r="H238" s="2">
        <v>17412706.449999999</v>
      </c>
      <c r="I238" s="2">
        <v>16961571.709999997</v>
      </c>
      <c r="J238" s="2">
        <v>6985685.4499999993</v>
      </c>
      <c r="K238" s="2">
        <v>101847441.16</v>
      </c>
      <c r="L238" s="2"/>
      <c r="M238" t="str">
        <f t="shared" si="13"/>
        <v>insert into business_analytic.report.orenda values(2026, 1, '2021134500', 'Іванків,Фора-367 Харківська,22Г', NULL, 15160364.57, 'TO');</v>
      </c>
      <c r="N238" t="str">
        <f t="shared" si="14"/>
        <v>insert into business_analytic.report.orenda values(2026, 2, '2021134500', 'Іванків,Фора-367 Харківська,22Г', NULL, 13875256.96, 'TO');</v>
      </c>
      <c r="O238" t="str">
        <f t="shared" si="14"/>
        <v>insert into business_analytic.report.orenda values(2026, 3, '2021134500', 'Іванків,Фора-367 Харківська,22Г', NULL, 16517337.42, 'TO');</v>
      </c>
      <c r="P238" t="str">
        <f t="shared" si="15"/>
        <v>insert into business_analytic.report.orenda values(2026, 4, '2021134500', 'Іванків,Фора-367 Харківська,22Г', NULL, 14934518.6, 'TO');</v>
      </c>
      <c r="Q238" t="str">
        <f t="shared" si="16"/>
        <v>insert into business_analytic.report.orenda values(2026, 5, '2021134500', 'Іванків,Фора-367 Харківська,22Г', NULL, 17412706.45, 'TO');</v>
      </c>
    </row>
    <row r="239" spans="1:17" x14ac:dyDescent="0.3">
      <c r="A239" t="s">
        <v>381</v>
      </c>
      <c r="B239" t="s">
        <v>1129</v>
      </c>
      <c r="C239" t="s">
        <v>1130</v>
      </c>
      <c r="D239" s="2">
        <v>25909200.119999997</v>
      </c>
      <c r="E239" s="2">
        <v>24419330.629999999</v>
      </c>
      <c r="F239" s="2">
        <v>26555985.039999999</v>
      </c>
      <c r="G239" s="2">
        <v>25750548.75</v>
      </c>
      <c r="H239" s="2">
        <v>28665760.519999996</v>
      </c>
      <c r="I239" s="2">
        <v>27705747.07</v>
      </c>
      <c r="J239" s="2">
        <v>10557630.74</v>
      </c>
      <c r="K239" s="2">
        <v>169564202.86999997</v>
      </c>
      <c r="L239" s="2"/>
      <c r="M239" t="str">
        <f t="shared" si="13"/>
        <v>insert into business_analytic.report.orenda values(2026, 1, '2021134700', 'Гостомель,Фора-369 Гостомельське Шосе,1', NULL, 25909200.12, 'TO');</v>
      </c>
      <c r="N239" t="str">
        <f t="shared" si="14"/>
        <v>insert into business_analytic.report.orenda values(2026, 2, '2021134700', 'Гостомель,Фора-369 Гостомельське Шосе,1', NULL, 24419330.63, 'TO');</v>
      </c>
      <c r="O239" t="str">
        <f t="shared" si="14"/>
        <v>insert into business_analytic.report.orenda values(2026, 3, '2021134700', 'Гостомель,Фора-369 Гостомельське Шосе,1', NULL, 26555985.04, 'TO');</v>
      </c>
      <c r="P239" t="str">
        <f t="shared" si="15"/>
        <v>insert into business_analytic.report.orenda values(2026, 4, '2021134700', 'Гостомель,Фора-369 Гостомельське Шосе,1', NULL, 25750548.75, 'TO');</v>
      </c>
      <c r="Q239" t="str">
        <f t="shared" si="16"/>
        <v>insert into business_analytic.report.orenda values(2026, 5, '2021134700', 'Гостомель,Фора-369 Гостомельське Шосе,1', NULL, 28665760.52, 'TO');</v>
      </c>
    </row>
    <row r="240" spans="1:17" x14ac:dyDescent="0.3">
      <c r="A240" t="s">
        <v>382</v>
      </c>
      <c r="B240" t="s">
        <v>1131</v>
      </c>
      <c r="C240" t="s">
        <v>1132</v>
      </c>
      <c r="D240" s="2">
        <v>14483717.809999999</v>
      </c>
      <c r="E240" s="2">
        <v>13569325.470000001</v>
      </c>
      <c r="F240" s="2">
        <v>14664249.779999999</v>
      </c>
      <c r="G240" s="2">
        <v>14981711.09</v>
      </c>
      <c r="H240" s="2">
        <v>15816957.319999998</v>
      </c>
      <c r="I240" s="2">
        <v>15747399.709999999</v>
      </c>
      <c r="J240" s="2">
        <v>6200799.2000000002</v>
      </c>
      <c r="K240" s="2">
        <v>95464160.379999995</v>
      </c>
      <c r="L240" s="2"/>
      <c r="M240" t="str">
        <f t="shared" si="13"/>
        <v>insert into business_analytic.report.orenda values(2026, 1, '2021134900', 'Яготин,Фора-371 Незалежності,19', NULL, 14483717.81, 'TO');</v>
      </c>
      <c r="N240" t="str">
        <f t="shared" si="14"/>
        <v>insert into business_analytic.report.orenda values(2026, 2, '2021134900', 'Яготин,Фора-371 Незалежності,19', NULL, 13569325.47, 'TO');</v>
      </c>
      <c r="O240" t="str">
        <f t="shared" si="14"/>
        <v>insert into business_analytic.report.orenda values(2026, 3, '2021134900', 'Яготин,Фора-371 Незалежності,19', NULL, 14664249.78, 'TO');</v>
      </c>
      <c r="P240" t="str">
        <f t="shared" si="15"/>
        <v>insert into business_analytic.report.orenda values(2026, 4, '2021134900', 'Яготин,Фора-371 Незалежності,19', NULL, 14981711.09, 'TO');</v>
      </c>
      <c r="Q240" t="str">
        <f t="shared" si="16"/>
        <v>insert into business_analytic.report.orenda values(2026, 5, '2021134900', 'Яготин,Фора-371 Незалежності,19', NULL, 15816957.32, 'TO');</v>
      </c>
    </row>
    <row r="241" spans="1:17" x14ac:dyDescent="0.3">
      <c r="A241" t="s">
        <v>383</v>
      </c>
      <c r="B241" t="s">
        <v>1133</v>
      </c>
      <c r="C241" t="s">
        <v>1134</v>
      </c>
      <c r="D241" s="2">
        <v>15569455.719999999</v>
      </c>
      <c r="E241" s="2">
        <v>13173446.18</v>
      </c>
      <c r="F241" s="2">
        <v>17759889.870000001</v>
      </c>
      <c r="G241" s="2">
        <v>17847501.810000002</v>
      </c>
      <c r="H241" s="2">
        <v>19819933.159999996</v>
      </c>
      <c r="I241" s="2">
        <v>19044638.870000001</v>
      </c>
      <c r="J241" s="2">
        <v>7239893.9099999992</v>
      </c>
      <c r="K241" s="2">
        <v>110454759.52000001</v>
      </c>
      <c r="L241" s="2"/>
      <c r="M241" t="str">
        <f t="shared" si="13"/>
        <v>insert into business_analytic.report.orenda values(2026, 1, '2021135000', 'Шевченкове,Фора-372 Ювілейний,1', NULL, 15569455.72, 'TO');</v>
      </c>
      <c r="N241" t="str">
        <f t="shared" si="14"/>
        <v>insert into business_analytic.report.orenda values(2026, 2, '2021135000', 'Шевченкове,Фора-372 Ювілейний,1', NULL, 13173446.18, 'TO');</v>
      </c>
      <c r="O241" t="str">
        <f t="shared" si="14"/>
        <v>insert into business_analytic.report.orenda values(2026, 3, '2021135000', 'Шевченкове,Фора-372 Ювілейний,1', NULL, 17759889.87, 'TO');</v>
      </c>
      <c r="P241" t="str">
        <f t="shared" si="15"/>
        <v>insert into business_analytic.report.orenda values(2026, 4, '2021135000', 'Шевченкове,Фора-372 Ювілейний,1', NULL, 17847501.81, 'TO');</v>
      </c>
      <c r="Q241" t="str">
        <f t="shared" si="16"/>
        <v>insert into business_analytic.report.orenda values(2026, 5, '2021135000', 'Шевченкове,Фора-372 Ювілейний,1', NULL, 19819933.16, 'TO');</v>
      </c>
    </row>
    <row r="242" spans="1:17" x14ac:dyDescent="0.3">
      <c r="A242" t="s">
        <v>384</v>
      </c>
      <c r="B242" t="s">
        <v>1135</v>
      </c>
      <c r="C242" t="s">
        <v>1136</v>
      </c>
      <c r="D242" s="2">
        <v>15080232.82</v>
      </c>
      <c r="E242" s="2">
        <v>14572433.859999998</v>
      </c>
      <c r="F242" s="2">
        <v>15790215.02</v>
      </c>
      <c r="G242" s="2">
        <v>15453088.43</v>
      </c>
      <c r="H242" s="2">
        <v>16310803.179999998</v>
      </c>
      <c r="I242" s="2">
        <v>15391828.84</v>
      </c>
      <c r="J242" s="2">
        <v>5669733.1500000004</v>
      </c>
      <c r="K242" s="2">
        <v>98268335.299999997</v>
      </c>
      <c r="L242" s="2"/>
      <c r="M242" t="str">
        <f t="shared" si="13"/>
        <v>insert into business_analytic.report.orenda values(2026, 1, '2021135200', 'Коцюбинське,Фора-374 Пономарьова,26', NULL, 15080232.82, 'TO');</v>
      </c>
      <c r="N242" t="str">
        <f t="shared" si="14"/>
        <v>insert into business_analytic.report.orenda values(2026, 2, '2021135200', 'Коцюбинське,Фора-374 Пономарьова,26', NULL, 14572433.86, 'TO');</v>
      </c>
      <c r="O242" t="str">
        <f t="shared" si="14"/>
        <v>insert into business_analytic.report.orenda values(2026, 3, '2021135200', 'Коцюбинське,Фора-374 Пономарьова,26', NULL, 15790215.02, 'TO');</v>
      </c>
      <c r="P242" t="str">
        <f t="shared" si="15"/>
        <v>insert into business_analytic.report.orenda values(2026, 4, '2021135200', 'Коцюбинське,Фора-374 Пономарьова,26', NULL, 15453088.43, 'TO');</v>
      </c>
      <c r="Q242" t="str">
        <f t="shared" si="16"/>
        <v>insert into business_analytic.report.orenda values(2026, 5, '2021135200', 'Коцюбинське,Фора-374 Пономарьова,26', NULL, 16310803.18, 'TO');</v>
      </c>
    </row>
    <row r="243" spans="1:17" x14ac:dyDescent="0.3">
      <c r="A243" t="s">
        <v>385</v>
      </c>
      <c r="B243" t="s">
        <v>1137</v>
      </c>
      <c r="C243" t="s">
        <v>1138</v>
      </c>
      <c r="D243" s="2">
        <v>18883139.770000003</v>
      </c>
      <c r="E243" s="2">
        <v>17868893.459999997</v>
      </c>
      <c r="F243" s="2">
        <v>20744749.539999995</v>
      </c>
      <c r="G243" s="2">
        <v>20098307.279999997</v>
      </c>
      <c r="H243" s="2">
        <v>23204715.469999995</v>
      </c>
      <c r="I243" s="2">
        <v>24944059.399999995</v>
      </c>
      <c r="J243" s="2">
        <v>10113399.779999999</v>
      </c>
      <c r="K243" s="2">
        <v>135857264.69999999</v>
      </c>
      <c r="L243" s="2"/>
      <c r="M243" t="str">
        <f t="shared" si="13"/>
        <v>insert into business_analytic.report.orenda values(2026, 1, '2021135300', 'Димер,Фора-375 Соборна,73', NULL, 18883139.77, 'TO');</v>
      </c>
      <c r="N243" t="str">
        <f t="shared" si="14"/>
        <v>insert into business_analytic.report.orenda values(2026, 2, '2021135300', 'Димер,Фора-375 Соборна,73', NULL, 17868893.46, 'TO');</v>
      </c>
      <c r="O243" t="str">
        <f t="shared" si="14"/>
        <v>insert into business_analytic.report.orenda values(2026, 3, '2021135300', 'Димер,Фора-375 Соборна,73', NULL, 20744749.54, 'TO');</v>
      </c>
      <c r="P243" t="str">
        <f t="shared" si="15"/>
        <v>insert into business_analytic.report.orenda values(2026, 4, '2021135300', 'Димер,Фора-375 Соборна,73', NULL, 20098307.28, 'TO');</v>
      </c>
      <c r="Q243" t="str">
        <f t="shared" si="16"/>
        <v>insert into business_analytic.report.orenda values(2026, 5, '2021135300', 'Димер,Фора-375 Соборна,73', NULL, 23204715.47, 'TO');</v>
      </c>
    </row>
    <row r="244" spans="1:17" x14ac:dyDescent="0.3">
      <c r="A244" t="s">
        <v>386</v>
      </c>
      <c r="B244" t="s">
        <v>1139</v>
      </c>
      <c r="C244" t="s">
        <v>1140</v>
      </c>
      <c r="D244" s="2">
        <v>12168047.179999998</v>
      </c>
      <c r="E244" s="2">
        <v>12299914.49</v>
      </c>
      <c r="F244" s="2">
        <v>14487823.120000001</v>
      </c>
      <c r="G244" s="2">
        <v>13910977.359999999</v>
      </c>
      <c r="H244" s="2">
        <v>15163304.609999999</v>
      </c>
      <c r="I244" s="2">
        <v>14151516.819999998</v>
      </c>
      <c r="J244" s="2">
        <v>5381093</v>
      </c>
      <c r="K244" s="2">
        <v>87562676.579999998</v>
      </c>
      <c r="L244" s="2"/>
      <c r="M244" t="str">
        <f t="shared" si="13"/>
        <v>insert into business_analytic.report.orenda values(2026, 1, '2021135400', 'Новосілки,Фора-376 Васильківська,21', NULL, 12168047.18, 'TO');</v>
      </c>
      <c r="N244" t="str">
        <f t="shared" si="14"/>
        <v>insert into business_analytic.report.orenda values(2026, 2, '2021135400', 'Новосілки,Фора-376 Васильківська,21', NULL, 12299914.49, 'TO');</v>
      </c>
      <c r="O244" t="str">
        <f t="shared" si="14"/>
        <v>insert into business_analytic.report.orenda values(2026, 3, '2021135400', 'Новосілки,Фора-376 Васильківська,21', NULL, 14487823.12, 'TO');</v>
      </c>
      <c r="P244" t="str">
        <f t="shared" si="15"/>
        <v>insert into business_analytic.report.orenda values(2026, 4, '2021135400', 'Новосілки,Фора-376 Васильківська,21', NULL, 13910977.36, 'TO');</v>
      </c>
      <c r="Q244" t="str">
        <f t="shared" si="16"/>
        <v>insert into business_analytic.report.orenda values(2026, 5, '2021135400', 'Новосілки,Фора-376 Васильківська,21', NULL, 15163304.61, 'TO');</v>
      </c>
    </row>
    <row r="245" spans="1:17" x14ac:dyDescent="0.3">
      <c r="A245" t="s">
        <v>387</v>
      </c>
      <c r="B245" t="s">
        <v>1141</v>
      </c>
      <c r="C245" t="s">
        <v>1142</v>
      </c>
      <c r="D245" s="2">
        <v>14081717.039999999</v>
      </c>
      <c r="E245" s="2">
        <v>12343271.869999999</v>
      </c>
      <c r="F245" s="2">
        <v>13388857.899999999</v>
      </c>
      <c r="G245" s="2">
        <v>14471388.809999999</v>
      </c>
      <c r="H245" s="2">
        <v>14879386.960000001</v>
      </c>
      <c r="I245" s="2">
        <v>15106555.159999998</v>
      </c>
      <c r="J245" s="2">
        <v>6205865.8399999989</v>
      </c>
      <c r="K245" s="2">
        <v>90477043.579999983</v>
      </c>
      <c r="L245" s="2"/>
      <c r="M245" t="str">
        <f t="shared" si="13"/>
        <v>insert into business_analytic.report.orenda values(2026, 1, '2021135500', 'Сквира,Фора-377 Соборна,7', NULL, 14081717.04, 'TO');</v>
      </c>
      <c r="N245" t="str">
        <f t="shared" si="14"/>
        <v>insert into business_analytic.report.orenda values(2026, 2, '2021135500', 'Сквира,Фора-377 Соборна,7', NULL, 12343271.87, 'TO');</v>
      </c>
      <c r="O245" t="str">
        <f t="shared" si="14"/>
        <v>insert into business_analytic.report.orenda values(2026, 3, '2021135500', 'Сквира,Фора-377 Соборна,7', NULL, 13388857.9, 'TO');</v>
      </c>
      <c r="P245" t="str">
        <f t="shared" si="15"/>
        <v>insert into business_analytic.report.orenda values(2026, 4, '2021135500', 'Сквира,Фора-377 Соборна,7', NULL, 14471388.81, 'TO');</v>
      </c>
      <c r="Q245" t="str">
        <f t="shared" si="16"/>
        <v>insert into business_analytic.report.orenda values(2026, 5, '2021135500', 'Сквира,Фора-377 Соборна,7', NULL, 14879386.96, 'TO');</v>
      </c>
    </row>
    <row r="246" spans="1:17" x14ac:dyDescent="0.3">
      <c r="A246" t="s">
        <v>388</v>
      </c>
      <c r="B246" t="s">
        <v>1143</v>
      </c>
      <c r="C246" t="s">
        <v>1144</v>
      </c>
      <c r="D246" s="2">
        <v>11194161.309999999</v>
      </c>
      <c r="E246" s="2">
        <v>10543713.540000001</v>
      </c>
      <c r="F246" s="2">
        <v>11218325.109999999</v>
      </c>
      <c r="G246" s="2">
        <v>10994057.720000001</v>
      </c>
      <c r="H246" s="2">
        <v>12173056.879999999</v>
      </c>
      <c r="I246" s="2">
        <v>11395110.460000001</v>
      </c>
      <c r="J246" s="2">
        <v>4389523.8099999996</v>
      </c>
      <c r="K246" s="2">
        <v>71907948.829999983</v>
      </c>
      <c r="L246" s="2"/>
      <c r="M246" t="str">
        <f t="shared" si="13"/>
        <v>insert into business_analytic.report.orenda values(2026, 1, '2021135600', 'Ірпінь,Фора-378 Чайковського,5', NULL, 11194161.31, 'TO');</v>
      </c>
      <c r="N246" t="str">
        <f t="shared" si="14"/>
        <v>insert into business_analytic.report.orenda values(2026, 2, '2021135600', 'Ірпінь,Фора-378 Чайковського,5', NULL, 10543713.54, 'TO');</v>
      </c>
      <c r="O246" t="str">
        <f t="shared" si="14"/>
        <v>insert into business_analytic.report.orenda values(2026, 3, '2021135600', 'Ірпінь,Фора-378 Чайковського,5', NULL, 11218325.11, 'TO');</v>
      </c>
      <c r="P246" t="str">
        <f t="shared" si="15"/>
        <v>insert into business_analytic.report.orenda values(2026, 4, '2021135600', 'Ірпінь,Фора-378 Чайковського,5', NULL, 10994057.72, 'TO');</v>
      </c>
      <c r="Q246" t="str">
        <f t="shared" si="16"/>
        <v>insert into business_analytic.report.orenda values(2026, 5, '2021135600', 'Ірпінь,Фора-378 Чайковського,5', NULL, 12173056.88, 'TO');</v>
      </c>
    </row>
    <row r="247" spans="1:17" x14ac:dyDescent="0.3">
      <c r="A247" t="s">
        <v>389</v>
      </c>
      <c r="B247" t="s">
        <v>1145</v>
      </c>
      <c r="C247" t="s">
        <v>1146</v>
      </c>
      <c r="D247" s="2">
        <v>19225187.460000001</v>
      </c>
      <c r="E247" s="2">
        <v>18731957.859999999</v>
      </c>
      <c r="F247" s="2">
        <v>21456623.170000002</v>
      </c>
      <c r="G247" s="2">
        <v>21435509.919999998</v>
      </c>
      <c r="H247" s="2">
        <v>22682897.73</v>
      </c>
      <c r="I247" s="2">
        <v>21665774.639999997</v>
      </c>
      <c r="J247" s="2">
        <v>8146990.3899999997</v>
      </c>
      <c r="K247" s="2">
        <v>133344941.16999999</v>
      </c>
      <c r="L247" s="2"/>
      <c r="M247" t="str">
        <f t="shared" si="13"/>
        <v>insert into business_analytic.report.orenda values(2026, 1, '2021135800', 'Васильків,Фора-380 Київський шлях,21,23', NULL, 19225187.46, 'TO');</v>
      </c>
      <c r="N247" t="str">
        <f t="shared" si="14"/>
        <v>insert into business_analytic.report.orenda values(2026, 2, '2021135800', 'Васильків,Фора-380 Київський шлях,21,23', NULL, 18731957.86, 'TO');</v>
      </c>
      <c r="O247" t="str">
        <f t="shared" si="14"/>
        <v>insert into business_analytic.report.orenda values(2026, 3, '2021135800', 'Васильків,Фора-380 Київський шлях,21,23', NULL, 21456623.17, 'TO');</v>
      </c>
      <c r="P247" t="str">
        <f t="shared" si="15"/>
        <v>insert into business_analytic.report.orenda values(2026, 4, '2021135800', 'Васильків,Фора-380 Київський шлях,21,23', NULL, 21435509.92, 'TO');</v>
      </c>
      <c r="Q247" t="str">
        <f t="shared" si="16"/>
        <v>insert into business_analytic.report.orenda values(2026, 5, '2021135800', 'Васильків,Фора-380 Київський шлях,21,23', NULL, 22682897.73, 'TO');</v>
      </c>
    </row>
    <row r="248" spans="1:17" x14ac:dyDescent="0.3">
      <c r="A248" t="s">
        <v>390</v>
      </c>
      <c r="B248" t="s">
        <v>1147</v>
      </c>
      <c r="C248" t="s">
        <v>1148</v>
      </c>
      <c r="D248" s="2">
        <v>15847805.949999999</v>
      </c>
      <c r="E248" s="2">
        <v>14827598.239999998</v>
      </c>
      <c r="F248" s="2">
        <v>17423773.859999996</v>
      </c>
      <c r="G248" s="2">
        <v>18057709.220000003</v>
      </c>
      <c r="H248" s="2">
        <v>20660158.539999999</v>
      </c>
      <c r="I248" s="2">
        <v>20308129.039999995</v>
      </c>
      <c r="J248" s="2">
        <v>8423050.5</v>
      </c>
      <c r="K248" s="2">
        <v>115548225.34999999</v>
      </c>
      <c r="L248" s="2"/>
      <c r="M248" t="str">
        <f t="shared" si="13"/>
        <v>insert into business_analytic.report.orenda values(2026, 1, '2021136000', 'Красилівка,Фора-382 Європейська,1', NULL, 15847805.95, 'TO');</v>
      </c>
      <c r="N248" t="str">
        <f t="shared" si="14"/>
        <v>insert into business_analytic.report.orenda values(2026, 2, '2021136000', 'Красилівка,Фора-382 Європейська,1', NULL, 14827598.24, 'TO');</v>
      </c>
      <c r="O248" t="str">
        <f t="shared" si="14"/>
        <v>insert into business_analytic.report.orenda values(2026, 3, '2021136000', 'Красилівка,Фора-382 Європейська,1', NULL, 17423773.86, 'TO');</v>
      </c>
      <c r="P248" t="str">
        <f t="shared" si="15"/>
        <v>insert into business_analytic.report.orenda values(2026, 4, '2021136000', 'Красилівка,Фора-382 Європейська,1', NULL, 18057709.22, 'TO');</v>
      </c>
      <c r="Q248" t="str">
        <f t="shared" si="16"/>
        <v>insert into business_analytic.report.orenda values(2026, 5, '2021136000', 'Красилівка,Фора-382 Європейська,1', NULL, 20660158.54, 'TO');</v>
      </c>
    </row>
    <row r="249" spans="1:17" x14ac:dyDescent="0.3">
      <c r="A249" t="s">
        <v>391</v>
      </c>
      <c r="B249" t="s">
        <v>1149</v>
      </c>
      <c r="C249" t="s">
        <v>1150</v>
      </c>
      <c r="D249" s="2">
        <v>27110556.5</v>
      </c>
      <c r="E249" s="2">
        <v>24658092.280000001</v>
      </c>
      <c r="F249" s="2">
        <v>26476425.649999999</v>
      </c>
      <c r="G249" s="2">
        <v>27301080.349999998</v>
      </c>
      <c r="H249" s="2">
        <v>28239446.970000003</v>
      </c>
      <c r="I249" s="2">
        <v>28139617.509999998</v>
      </c>
      <c r="J249" s="2">
        <v>12200966.76</v>
      </c>
      <c r="K249" s="2">
        <v>174126186.01999998</v>
      </c>
      <c r="L249" s="2"/>
      <c r="M249" t="str">
        <f t="shared" si="13"/>
        <v>insert into business_analytic.report.orenda values(2026, 1, '2021136200', 'Переяслав,Фора-384 Хмельницького,96', NULL, 27110556.5, 'TO');</v>
      </c>
      <c r="N249" t="str">
        <f t="shared" si="14"/>
        <v>insert into business_analytic.report.orenda values(2026, 2, '2021136200', 'Переяслав,Фора-384 Хмельницького,96', NULL, 24658092.28, 'TO');</v>
      </c>
      <c r="O249" t="str">
        <f t="shared" si="14"/>
        <v>insert into business_analytic.report.orenda values(2026, 3, '2021136200', 'Переяслав,Фора-384 Хмельницького,96', NULL, 26476425.65, 'TO');</v>
      </c>
      <c r="P249" t="str">
        <f t="shared" si="15"/>
        <v>insert into business_analytic.report.orenda values(2026, 4, '2021136200', 'Переяслав,Фора-384 Хмельницького,96', NULL, 27301080.35, 'TO');</v>
      </c>
      <c r="Q249" t="str">
        <f t="shared" si="16"/>
        <v>insert into business_analytic.report.orenda values(2026, 5, '2021136200', 'Переяслав,Фора-384 Хмельницького,96', NULL, 28239446.97, 'TO');</v>
      </c>
    </row>
    <row r="250" spans="1:17" x14ac:dyDescent="0.3">
      <c r="A250" t="s">
        <v>392</v>
      </c>
      <c r="B250" t="s">
        <v>1151</v>
      </c>
      <c r="C250" t="s">
        <v>1152</v>
      </c>
      <c r="D250" s="2">
        <v>10293069.41</v>
      </c>
      <c r="E250" s="2">
        <v>9892229.1199999992</v>
      </c>
      <c r="F250" s="2">
        <v>13156016.249999998</v>
      </c>
      <c r="G250" s="2">
        <v>12945276.51</v>
      </c>
      <c r="H250" s="2">
        <v>13570867.630000001</v>
      </c>
      <c r="I250" s="2">
        <v>13362335.499999998</v>
      </c>
      <c r="J250" s="2">
        <v>4810709.88</v>
      </c>
      <c r="K250" s="2">
        <v>78030504.299999997</v>
      </c>
      <c r="L250" s="2"/>
      <c r="M250" t="str">
        <f t="shared" si="13"/>
        <v>insert into business_analytic.report.orenda values(2026, 1, '2021136400', 'Київ,Фора-388 Ясна,8', NULL, 10293069.41, 'TO');</v>
      </c>
      <c r="N250" t="str">
        <f t="shared" si="14"/>
        <v>insert into business_analytic.report.orenda values(2026, 2, '2021136400', 'Київ,Фора-388 Ясна,8', NULL, 9892229.12, 'TO');</v>
      </c>
      <c r="O250" t="str">
        <f t="shared" si="14"/>
        <v>insert into business_analytic.report.orenda values(2026, 3, '2021136400', 'Київ,Фора-388 Ясна,8', NULL, 13156016.25, 'TO');</v>
      </c>
      <c r="P250" t="str">
        <f t="shared" si="15"/>
        <v>insert into business_analytic.report.orenda values(2026, 4, '2021136400', 'Київ,Фора-388 Ясна,8', NULL, 12945276.51, 'TO');</v>
      </c>
      <c r="Q250" t="str">
        <f t="shared" si="16"/>
        <v>insert into business_analytic.report.orenda values(2026, 5, '2021136400', 'Київ,Фора-388 Ясна,8', NULL, 13570867.63, 'TO');</v>
      </c>
    </row>
    <row r="251" spans="1:17" x14ac:dyDescent="0.3">
      <c r="A251" t="s">
        <v>393</v>
      </c>
      <c r="B251" t="s">
        <v>1153</v>
      </c>
      <c r="C251" t="s">
        <v>1154</v>
      </c>
      <c r="D251" s="2">
        <v>13648795.43</v>
      </c>
      <c r="E251" s="2">
        <v>13049779.130000001</v>
      </c>
      <c r="F251" s="2">
        <v>14603643.34</v>
      </c>
      <c r="G251" s="2">
        <v>13586664.319999998</v>
      </c>
      <c r="H251" s="2">
        <v>14215764.469999999</v>
      </c>
      <c r="I251" s="2">
        <v>13003160.33</v>
      </c>
      <c r="J251" s="2">
        <v>4728689.87</v>
      </c>
      <c r="K251" s="2">
        <v>86836496.890000001</v>
      </c>
      <c r="L251" s="2"/>
      <c r="M251" t="str">
        <f t="shared" si="13"/>
        <v>insert into business_analytic.report.orenda values(2026, 1, '2021136500', 'Вишневе,Фора-389 Вишні,3', NULL, 13648795.43, 'TO');</v>
      </c>
      <c r="N251" t="str">
        <f t="shared" si="14"/>
        <v>insert into business_analytic.report.orenda values(2026, 2, '2021136500', 'Вишневе,Фора-389 Вишні,3', NULL, 13049779.13, 'TO');</v>
      </c>
      <c r="O251" t="str">
        <f t="shared" si="14"/>
        <v>insert into business_analytic.report.orenda values(2026, 3, '2021136500', 'Вишневе,Фора-389 Вишні,3', NULL, 14603643.34, 'TO');</v>
      </c>
      <c r="P251" t="str">
        <f t="shared" si="15"/>
        <v>insert into business_analytic.report.orenda values(2026, 4, '2021136500', 'Вишневе,Фора-389 Вишні,3', NULL, 13586664.32, 'TO');</v>
      </c>
      <c r="Q251" t="str">
        <f t="shared" si="16"/>
        <v>insert into business_analytic.report.orenda values(2026, 5, '2021136500', 'Вишневе,Фора-389 Вишні,3', NULL, 14215764.47, 'TO');</v>
      </c>
    </row>
    <row r="252" spans="1:17" x14ac:dyDescent="0.3">
      <c r="A252" t="s">
        <v>394</v>
      </c>
      <c r="B252" t="s">
        <v>1155</v>
      </c>
      <c r="C252" t="s">
        <v>1156</v>
      </c>
      <c r="D252" s="2">
        <v>7885049.1699999999</v>
      </c>
      <c r="E252" s="2">
        <v>7575904.3499999996</v>
      </c>
      <c r="F252" s="2">
        <v>8873814.9399999995</v>
      </c>
      <c r="G252" s="2">
        <v>8751860.459999999</v>
      </c>
      <c r="H252" s="2">
        <v>9506693.7400000002</v>
      </c>
      <c r="I252" s="2">
        <v>9224740.9299999997</v>
      </c>
      <c r="J252" s="2">
        <v>3453769.6999999997</v>
      </c>
      <c r="K252" s="2">
        <v>55271833.289999992</v>
      </c>
      <c r="L252" s="2"/>
      <c r="M252" t="str">
        <f t="shared" si="13"/>
        <v>insert into business_analytic.report.orenda values(2026, 1, '2021136600', 'Київ,Фора-391 Ізяславський,46-49', NULL, 7885049.17, 'TO');</v>
      </c>
      <c r="N252" t="str">
        <f t="shared" si="14"/>
        <v>insert into business_analytic.report.orenda values(2026, 2, '2021136600', 'Київ,Фора-391 Ізяславський,46-49', NULL, 7575904.35, 'TO');</v>
      </c>
      <c r="O252" t="str">
        <f t="shared" si="14"/>
        <v>insert into business_analytic.report.orenda values(2026, 3, '2021136600', 'Київ,Фора-391 Ізяславський,46-49', NULL, 8873814.94, 'TO');</v>
      </c>
      <c r="P252" t="str">
        <f t="shared" si="15"/>
        <v>insert into business_analytic.report.orenda values(2026, 4, '2021136600', 'Київ,Фора-391 Ізяславський,46-49', NULL, 8751860.46, 'TO');</v>
      </c>
      <c r="Q252" t="str">
        <f t="shared" si="16"/>
        <v>insert into business_analytic.report.orenda values(2026, 5, '2021136600', 'Київ,Фора-391 Ізяславський,46-49', NULL, 9506693.74, 'TO');</v>
      </c>
    </row>
    <row r="253" spans="1:17" x14ac:dyDescent="0.3">
      <c r="A253" t="s">
        <v>395</v>
      </c>
      <c r="B253" t="s">
        <v>1157</v>
      </c>
      <c r="C253" t="s">
        <v>1158</v>
      </c>
      <c r="D253" s="2">
        <v>16007651.32</v>
      </c>
      <c r="E253" s="2">
        <v>15351965.409999998</v>
      </c>
      <c r="F253" s="2">
        <v>17703332.039999999</v>
      </c>
      <c r="G253" s="2">
        <v>16890106.32</v>
      </c>
      <c r="H253" s="2">
        <v>18155591.059999999</v>
      </c>
      <c r="I253" s="2">
        <v>16661900.989999998</v>
      </c>
      <c r="J253" s="2">
        <v>5943516.8099999996</v>
      </c>
      <c r="K253" s="2">
        <v>106714063.94999999</v>
      </c>
      <c r="L253" s="2"/>
      <c r="M253" t="str">
        <f t="shared" si="13"/>
        <v>insert into business_analytic.report.orenda values(2026, 1, '2021136700', 'Чайки,Фора-392 Грушевського,12', NULL, 16007651.32, 'TO');</v>
      </c>
      <c r="N253" t="str">
        <f t="shared" si="14"/>
        <v>insert into business_analytic.report.orenda values(2026, 2, '2021136700', 'Чайки,Фора-392 Грушевського,12', NULL, 15351965.41, 'TO');</v>
      </c>
      <c r="O253" t="str">
        <f t="shared" si="14"/>
        <v>insert into business_analytic.report.orenda values(2026, 3, '2021136700', 'Чайки,Фора-392 Грушевського,12', NULL, 17703332.04, 'TO');</v>
      </c>
      <c r="P253" t="str">
        <f t="shared" si="15"/>
        <v>insert into business_analytic.report.orenda values(2026, 4, '2021136700', 'Чайки,Фора-392 Грушевського,12', NULL, 16890106.32, 'TO');</v>
      </c>
      <c r="Q253" t="str">
        <f t="shared" si="16"/>
        <v>insert into business_analytic.report.orenda values(2026, 5, '2021136700', 'Чайки,Фора-392 Грушевського,12', NULL, 18155591.06, 'TO');</v>
      </c>
    </row>
    <row r="254" spans="1:17" x14ac:dyDescent="0.3">
      <c r="A254" t="s">
        <v>396</v>
      </c>
      <c r="B254" t="s">
        <v>1159</v>
      </c>
      <c r="C254" t="s">
        <v>1160</v>
      </c>
      <c r="D254" s="2">
        <v>19977200.689999998</v>
      </c>
      <c r="E254" s="2">
        <v>19313713.550000001</v>
      </c>
      <c r="F254" s="2">
        <v>22059734.93</v>
      </c>
      <c r="G254" s="2">
        <v>21713959.239999998</v>
      </c>
      <c r="H254" s="2">
        <v>23546093</v>
      </c>
      <c r="I254" s="2">
        <v>22724309.240000002</v>
      </c>
      <c r="J254" s="2">
        <v>8299193.919999999</v>
      </c>
      <c r="K254" s="2">
        <v>137634204.56999999</v>
      </c>
      <c r="L254" s="2"/>
      <c r="M254" t="str">
        <f t="shared" si="13"/>
        <v>insert into business_analytic.report.orenda values(2026, 1, '2021136800', 'ПетрБорщагівка,Фора-393 Княгині Ольги,67', NULL, 19977200.69, 'TO');</v>
      </c>
      <c r="N254" t="str">
        <f t="shared" si="14"/>
        <v>insert into business_analytic.report.orenda values(2026, 2, '2021136800', 'ПетрБорщагівка,Фора-393 Княгині Ольги,67', NULL, 19313713.55, 'TO');</v>
      </c>
      <c r="O254" t="str">
        <f t="shared" si="14"/>
        <v>insert into business_analytic.report.orenda values(2026, 3, '2021136800', 'ПетрБорщагівка,Фора-393 Княгині Ольги,67', NULL, 22059734.93, 'TO');</v>
      </c>
      <c r="P254" t="str">
        <f t="shared" si="15"/>
        <v>insert into business_analytic.report.orenda values(2026, 4, '2021136800', 'ПетрБорщагівка,Фора-393 Княгині Ольги,67', NULL, 21713959.24, 'TO');</v>
      </c>
      <c r="Q254" t="str">
        <f t="shared" si="16"/>
        <v>insert into business_analytic.report.orenda values(2026, 5, '2021136800', 'ПетрБорщагівка,Фора-393 Княгині Ольги,67', NULL, 23546093, 'TO');</v>
      </c>
    </row>
    <row r="255" spans="1:17" x14ac:dyDescent="0.3">
      <c r="A255" t="s">
        <v>188</v>
      </c>
      <c r="B255" t="s">
        <v>512</v>
      </c>
      <c r="C255" t="s">
        <v>805</v>
      </c>
      <c r="D255" s="2">
        <v>19233951.749999996</v>
      </c>
      <c r="E255" s="2">
        <v>18254493.779999997</v>
      </c>
      <c r="F255" s="2">
        <v>22248943.920000002</v>
      </c>
      <c r="G255" s="2">
        <v>21703843.5</v>
      </c>
      <c r="H255" s="2">
        <v>22824696.75</v>
      </c>
      <c r="I255" s="2">
        <v>21078029.809999999</v>
      </c>
      <c r="J255" s="2">
        <v>7644255.2399999993</v>
      </c>
      <c r="K255" s="2">
        <v>132988214.75</v>
      </c>
      <c r="L255" s="2"/>
      <c r="M255" t="str">
        <f t="shared" si="13"/>
        <v>insert into business_analytic.report.orenda values(2026, 1, '2021136900', 'Київ,Фора-394 Лесі Українки,28', NULL, 19233951.75, 'TO');</v>
      </c>
      <c r="N255" t="str">
        <f t="shared" si="14"/>
        <v>insert into business_analytic.report.orenda values(2026, 2, '2021136900', 'Київ,Фора-394 Лесі Українки,28', NULL, 18254493.78, 'TO');</v>
      </c>
      <c r="O255" t="str">
        <f t="shared" si="14"/>
        <v>insert into business_analytic.report.orenda values(2026, 3, '2021136900', 'Київ,Фора-394 Лесі Українки,28', NULL, 22248943.92, 'TO');</v>
      </c>
      <c r="P255" t="str">
        <f t="shared" si="15"/>
        <v>insert into business_analytic.report.orenda values(2026, 4, '2021136900', 'Київ,Фора-394 Лесі Українки,28', NULL, 21703843.5, 'TO');</v>
      </c>
      <c r="Q255" t="str">
        <f t="shared" si="16"/>
        <v>insert into business_analytic.report.orenda values(2026, 5, '2021136900', 'Київ,Фора-394 Лесі Українки,28', NULL, 22824696.75, 'TO');</v>
      </c>
    </row>
    <row r="256" spans="1:17" x14ac:dyDescent="0.3">
      <c r="A256" t="s">
        <v>397</v>
      </c>
      <c r="B256" t="s">
        <v>1161</v>
      </c>
      <c r="C256" t="s">
        <v>1162</v>
      </c>
      <c r="D256" s="2">
        <v>31283685.599999998</v>
      </c>
      <c r="E256" s="2">
        <v>28492629.689999998</v>
      </c>
      <c r="F256" s="2">
        <v>31919945.220000003</v>
      </c>
      <c r="G256" s="2">
        <v>30851255.75</v>
      </c>
      <c r="H256" s="2">
        <v>32344879.149999999</v>
      </c>
      <c r="I256" s="2">
        <v>30460754.139999997</v>
      </c>
      <c r="J256" s="2">
        <v>11380986.1</v>
      </c>
      <c r="K256" s="2">
        <v>196734135.64999998</v>
      </c>
      <c r="L256" s="2"/>
      <c r="M256" t="str">
        <f t="shared" si="13"/>
        <v>insert into business_analytic.report.orenda values(2026, 1, '2021137000', 'Київ,Фора-396 Булаховського,3А', NULL, 31283685.6, 'TO');</v>
      </c>
      <c r="N256" t="str">
        <f t="shared" si="14"/>
        <v>insert into business_analytic.report.orenda values(2026, 2, '2021137000', 'Київ,Фора-396 Булаховського,3А', NULL, 28492629.69, 'TO');</v>
      </c>
      <c r="O256" t="str">
        <f t="shared" si="14"/>
        <v>insert into business_analytic.report.orenda values(2026, 3, '2021137000', 'Київ,Фора-396 Булаховського,3А', NULL, 31919945.22, 'TO');</v>
      </c>
      <c r="P256" t="str">
        <f t="shared" si="15"/>
        <v>insert into business_analytic.report.orenda values(2026, 4, '2021137000', 'Київ,Фора-396 Булаховського,3А', NULL, 30851255.75, 'TO');</v>
      </c>
      <c r="Q256" t="str">
        <f t="shared" si="16"/>
        <v>insert into business_analytic.report.orenda values(2026, 5, '2021137000', 'Київ,Фора-396 Булаховського,3А', NULL, 32344879.15, 'TO');</v>
      </c>
    </row>
    <row r="257" spans="1:17" x14ac:dyDescent="0.3">
      <c r="A257" t="s">
        <v>40</v>
      </c>
      <c r="B257" t="s">
        <v>513</v>
      </c>
      <c r="C257" t="s">
        <v>806</v>
      </c>
      <c r="D257" s="2">
        <v>21308195.809999999</v>
      </c>
      <c r="E257" s="2">
        <v>17963282.779999997</v>
      </c>
      <c r="F257" s="2">
        <v>22849353.91</v>
      </c>
      <c r="G257" s="2">
        <v>23303475.720000003</v>
      </c>
      <c r="H257" s="2">
        <v>24500221.93</v>
      </c>
      <c r="I257" s="2">
        <v>24782608.439999998</v>
      </c>
      <c r="J257" s="2">
        <v>9289177.0600000005</v>
      </c>
      <c r="K257" s="2">
        <v>143996315.65000001</v>
      </c>
      <c r="L257" s="2"/>
      <c r="M257" t="str">
        <f t="shared" si="13"/>
        <v>insert into business_analytic.report.orenda values(2026, 1, '2021137200', 'Фастів,Фора-398 Мазепи,6', NULL, 21308195.81, 'TO');</v>
      </c>
      <c r="N257" t="str">
        <f t="shared" si="14"/>
        <v>insert into business_analytic.report.orenda values(2026, 2, '2021137200', 'Фастів,Фора-398 Мазепи,6', NULL, 17963282.78, 'TO');</v>
      </c>
      <c r="O257" t="str">
        <f t="shared" si="14"/>
        <v>insert into business_analytic.report.orenda values(2026, 3, '2021137200', 'Фастів,Фора-398 Мазепи,6', NULL, 22849353.91, 'TO');</v>
      </c>
      <c r="P257" t="str">
        <f t="shared" si="15"/>
        <v>insert into business_analytic.report.orenda values(2026, 4, '2021137200', 'Фастів,Фора-398 Мазепи,6', NULL, 23303475.72, 'TO');</v>
      </c>
      <c r="Q257" t="str">
        <f t="shared" si="16"/>
        <v>insert into business_analytic.report.orenda values(2026, 5, '2021137200', 'Фастів,Фора-398 Мазепи,6', NULL, 24500221.93, 'TO');</v>
      </c>
    </row>
    <row r="258" spans="1:17" x14ac:dyDescent="0.3">
      <c r="A258" t="s">
        <v>41</v>
      </c>
      <c r="B258" t="s">
        <v>514</v>
      </c>
      <c r="C258" t="s">
        <v>807</v>
      </c>
      <c r="D258" s="2">
        <v>14178496.449999999</v>
      </c>
      <c r="E258" s="2">
        <v>13488170.52</v>
      </c>
      <c r="F258" s="2">
        <v>15383890.679999998</v>
      </c>
      <c r="G258" s="2">
        <v>14593567.67</v>
      </c>
      <c r="H258" s="2">
        <v>15482997.499999998</v>
      </c>
      <c r="I258" s="2">
        <v>14717980.469999999</v>
      </c>
      <c r="J258" s="2">
        <v>5532247.5299999993</v>
      </c>
      <c r="K258" s="2">
        <v>93377350.820000008</v>
      </c>
      <c r="L258" s="2"/>
      <c r="M258" t="str">
        <f t="shared" si="13"/>
        <v>insert into business_analytic.report.orenda values(2026, 1, '2021137300', 'Київ,Фора-399 Науки,58В', NULL, 14178496.45, 'TO');</v>
      </c>
      <c r="N258" t="str">
        <f t="shared" si="14"/>
        <v>insert into business_analytic.report.orenda values(2026, 2, '2021137300', 'Київ,Фора-399 Науки,58В', NULL, 13488170.52, 'TO');</v>
      </c>
      <c r="O258" t="str">
        <f t="shared" si="14"/>
        <v>insert into business_analytic.report.orenda values(2026, 3, '2021137300', 'Київ,Фора-399 Науки,58В', NULL, 15383890.68, 'TO');</v>
      </c>
      <c r="P258" t="str">
        <f t="shared" si="15"/>
        <v>insert into business_analytic.report.orenda values(2026, 4, '2021137300', 'Київ,Фора-399 Науки,58В', NULL, 14593567.67, 'TO');</v>
      </c>
      <c r="Q258" t="str">
        <f t="shared" si="16"/>
        <v>insert into business_analytic.report.orenda values(2026, 5, '2021137300', 'Київ,Фора-399 Науки,58В', NULL, 15482997.5, 'TO');</v>
      </c>
    </row>
    <row r="259" spans="1:17" x14ac:dyDescent="0.3">
      <c r="A259" t="s">
        <v>189</v>
      </c>
      <c r="B259" t="s">
        <v>515</v>
      </c>
      <c r="C259" t="s">
        <v>808</v>
      </c>
      <c r="D259" s="2">
        <v>14100262.02</v>
      </c>
      <c r="E259" s="2">
        <v>12977919.469999999</v>
      </c>
      <c r="F259" s="2">
        <v>14297352.27</v>
      </c>
      <c r="G259" s="2">
        <v>14696601.319999998</v>
      </c>
      <c r="H259" s="2">
        <v>16158777.299999999</v>
      </c>
      <c r="I259" s="2">
        <v>15851544.979999999</v>
      </c>
      <c r="J259" s="2">
        <v>5796412.2399999993</v>
      </c>
      <c r="K259" s="2">
        <v>93878869.600000009</v>
      </c>
      <c r="L259" s="2"/>
      <c r="M259" t="str">
        <f t="shared" si="13"/>
        <v>insert into business_analytic.report.orenda values(2026, 1, '2021137400', 'Боярка,Фора-400 Франка,101А', NULL, 14100262.02, 'TO');</v>
      </c>
      <c r="N259" t="str">
        <f t="shared" si="14"/>
        <v>insert into business_analytic.report.orenda values(2026, 2, '2021137400', 'Боярка,Фора-400 Франка,101А', NULL, 12977919.47, 'TO');</v>
      </c>
      <c r="O259" t="str">
        <f t="shared" si="14"/>
        <v>insert into business_analytic.report.orenda values(2026, 3, '2021137400', 'Боярка,Фора-400 Франка,101А', NULL, 14297352.27, 'TO');</v>
      </c>
      <c r="P259" t="str">
        <f t="shared" si="15"/>
        <v>insert into business_analytic.report.orenda values(2026, 4, '2021137400', 'Боярка,Фора-400 Франка,101А', NULL, 14696601.32, 'TO');</v>
      </c>
      <c r="Q259" t="str">
        <f t="shared" si="16"/>
        <v>insert into business_analytic.report.orenda values(2026, 5, '2021137400', 'Боярка,Фора-400 Франка,101А', NULL, 16158777.3, 'TO');</v>
      </c>
    </row>
    <row r="260" spans="1:17" x14ac:dyDescent="0.3">
      <c r="A260" t="s">
        <v>190</v>
      </c>
      <c r="B260" t="s">
        <v>516</v>
      </c>
      <c r="C260" t="s">
        <v>809</v>
      </c>
      <c r="D260" s="2">
        <v>10210049.67</v>
      </c>
      <c r="E260" s="2">
        <v>9607266.7699999996</v>
      </c>
      <c r="F260" s="2">
        <v>10964326.4</v>
      </c>
      <c r="G260" s="2">
        <v>11010037.049999999</v>
      </c>
      <c r="H260" s="2">
        <v>12037469.899999999</v>
      </c>
      <c r="I260" s="2">
        <v>11138849.6</v>
      </c>
      <c r="J260" s="2">
        <v>3857447.65</v>
      </c>
      <c r="K260" s="2">
        <v>68825447.040000007</v>
      </c>
      <c r="L260" s="2"/>
      <c r="M260" t="str">
        <f t="shared" si="13"/>
        <v>insert into business_analytic.report.orenda values(2026, 1, '2021137500', 'Вишневе,Фора-401 Машинобудівників,11А', NULL, 10210049.67, 'TO');</v>
      </c>
      <c r="N260" t="str">
        <f t="shared" si="14"/>
        <v>insert into business_analytic.report.orenda values(2026, 2, '2021137500', 'Вишневе,Фора-401 Машинобудівників,11А', NULL, 9607266.77, 'TO');</v>
      </c>
      <c r="O260" t="str">
        <f t="shared" si="14"/>
        <v>insert into business_analytic.report.orenda values(2026, 3, '2021137500', 'Вишневе,Фора-401 Машинобудівників,11А', NULL, 10964326.4, 'TO');</v>
      </c>
      <c r="P260" t="str">
        <f t="shared" si="15"/>
        <v>insert into business_analytic.report.orenda values(2026, 4, '2021137500', 'Вишневе,Фора-401 Машинобудівників,11А', NULL, 11010037.05, 'TO');</v>
      </c>
      <c r="Q260" t="str">
        <f t="shared" si="16"/>
        <v>insert into business_analytic.report.orenda values(2026, 5, '2021137500', 'Вишневе,Фора-401 Машинобудівників,11А', NULL, 12037469.9, 'TO');</v>
      </c>
    </row>
    <row r="261" spans="1:17" x14ac:dyDescent="0.3">
      <c r="A261" t="s">
        <v>191</v>
      </c>
      <c r="B261" t="s">
        <v>517</v>
      </c>
      <c r="C261" t="s">
        <v>810</v>
      </c>
      <c r="D261" s="2">
        <v>18297764.259999994</v>
      </c>
      <c r="E261" s="2">
        <v>16969695.109999996</v>
      </c>
      <c r="F261" s="2">
        <v>20390811.73</v>
      </c>
      <c r="G261" s="2">
        <v>19840522.77</v>
      </c>
      <c r="H261" s="2">
        <v>21575550.079999998</v>
      </c>
      <c r="I261" s="2">
        <v>21172204.939999998</v>
      </c>
      <c r="J261" s="2">
        <v>7912059.4999999991</v>
      </c>
      <c r="K261" s="2">
        <v>126158608.39</v>
      </c>
      <c r="L261" s="2"/>
      <c r="M261" t="str">
        <f t="shared" si="13"/>
        <v>insert into business_analytic.report.orenda values(2026, 1, '2021137600', 'Київ,Фора-402 Юнкерова,92А', NULL, 18297764.26, 'TO');</v>
      </c>
      <c r="N261" t="str">
        <f t="shared" si="14"/>
        <v>insert into business_analytic.report.orenda values(2026, 2, '2021137600', 'Київ,Фора-402 Юнкерова,92А', NULL, 16969695.11, 'TO');</v>
      </c>
      <c r="O261" t="str">
        <f t="shared" si="14"/>
        <v>insert into business_analytic.report.orenda values(2026, 3, '2021137600', 'Київ,Фора-402 Юнкерова,92А', NULL, 20390811.73, 'TO');</v>
      </c>
      <c r="P261" t="str">
        <f t="shared" si="15"/>
        <v>insert into business_analytic.report.orenda values(2026, 4, '2021137600', 'Київ,Фора-402 Юнкерова,92А', NULL, 19840522.77, 'TO');</v>
      </c>
      <c r="Q261" t="str">
        <f t="shared" si="16"/>
        <v>insert into business_analytic.report.orenda values(2026, 5, '2021137600', 'Київ,Фора-402 Юнкерова,92А', NULL, 21575550.08, 'TO');</v>
      </c>
    </row>
    <row r="262" spans="1:17" x14ac:dyDescent="0.3">
      <c r="A262" t="s">
        <v>398</v>
      </c>
      <c r="B262" t="s">
        <v>1163</v>
      </c>
      <c r="C262" t="s">
        <v>1164</v>
      </c>
      <c r="D262" s="2">
        <v>20741646.359999999</v>
      </c>
      <c r="E262" s="2">
        <v>19846810.609999999</v>
      </c>
      <c r="F262" s="2">
        <v>22311137.479999997</v>
      </c>
      <c r="G262" s="2">
        <v>21580382.43</v>
      </c>
      <c r="H262" s="2">
        <v>23881452.550000001</v>
      </c>
      <c r="I262" s="2">
        <v>22126517.770000003</v>
      </c>
      <c r="J262" s="2">
        <v>7893901.54</v>
      </c>
      <c r="K262" s="2">
        <v>138381848.74000001</v>
      </c>
      <c r="L262" s="2"/>
      <c r="M262" t="str">
        <f t="shared" si="13"/>
        <v>insert into business_analytic.report.orenda values(2026, 1, '2021137700', 'Київ,Фора-403 Полуботка,9Г', NULL, 20741646.36, 'TO');</v>
      </c>
      <c r="N262" t="str">
        <f t="shared" si="14"/>
        <v>insert into business_analytic.report.orenda values(2026, 2, '2021137700', 'Київ,Фора-403 Полуботка,9Г', NULL, 19846810.61, 'TO');</v>
      </c>
      <c r="O262" t="str">
        <f t="shared" si="14"/>
        <v>insert into business_analytic.report.orenda values(2026, 3, '2021137700', 'Київ,Фора-403 Полуботка,9Г', NULL, 22311137.48, 'TO');</v>
      </c>
      <c r="P262" t="str">
        <f t="shared" si="15"/>
        <v>insert into business_analytic.report.orenda values(2026, 4, '2021137700', 'Київ,Фора-403 Полуботка,9Г', NULL, 21580382.43, 'TO');</v>
      </c>
      <c r="Q262" t="str">
        <f t="shared" si="16"/>
        <v>insert into business_analytic.report.orenda values(2026, 5, '2021137700', 'Київ,Фора-403 Полуботка,9Г', NULL, 23881452.55, 'TO');</v>
      </c>
    </row>
    <row r="263" spans="1:17" x14ac:dyDescent="0.3">
      <c r="A263" t="s">
        <v>42</v>
      </c>
      <c r="B263" t="s">
        <v>518</v>
      </c>
      <c r="C263" t="s">
        <v>811</v>
      </c>
      <c r="D263" s="2">
        <v>10510911.299999999</v>
      </c>
      <c r="E263" s="2">
        <v>10146707.65</v>
      </c>
      <c r="F263" s="2">
        <v>11139776</v>
      </c>
      <c r="G263" s="2">
        <v>10733614.85</v>
      </c>
      <c r="H263" s="2">
        <v>11948656.969999999</v>
      </c>
      <c r="I263" s="2">
        <v>11423944.559999999</v>
      </c>
      <c r="J263" s="2">
        <v>4238753.9499999993</v>
      </c>
      <c r="K263" s="2">
        <v>70142365.280000001</v>
      </c>
      <c r="L263" s="2"/>
      <c r="M263" t="str">
        <f t="shared" si="13"/>
        <v>insert into business_analytic.report.orenda values(2026, 1, '2021137800', 'СофБорщагівка,Фора-404 Небесної Сотні,38', NULL, 10510911.3, 'TO');</v>
      </c>
      <c r="N263" t="str">
        <f t="shared" si="14"/>
        <v>insert into business_analytic.report.orenda values(2026, 2, '2021137800', 'СофБорщагівка,Фора-404 Небесної Сотні,38', NULL, 10146707.65, 'TO');</v>
      </c>
      <c r="O263" t="str">
        <f t="shared" si="14"/>
        <v>insert into business_analytic.report.orenda values(2026, 3, '2021137800', 'СофБорщагівка,Фора-404 Небесної Сотні,38', NULL, 11139776, 'TO');</v>
      </c>
      <c r="P263" t="str">
        <f t="shared" si="15"/>
        <v>insert into business_analytic.report.orenda values(2026, 4, '2021137800', 'СофБорщагівка,Фора-404 Небесної Сотні,38', NULL, 10733614.85, 'TO');</v>
      </c>
      <c r="Q263" t="str">
        <f t="shared" si="16"/>
        <v>insert into business_analytic.report.orenda values(2026, 5, '2021137800', 'СофБорщагівка,Фора-404 Небесної Сотні,38', NULL, 11948656.97, 'TO');</v>
      </c>
    </row>
    <row r="264" spans="1:17" x14ac:dyDescent="0.3">
      <c r="A264" t="s">
        <v>192</v>
      </c>
      <c r="B264" t="s">
        <v>519</v>
      </c>
      <c r="C264" t="s">
        <v>812</v>
      </c>
      <c r="D264" s="2">
        <v>15536872.85</v>
      </c>
      <c r="E264" s="2">
        <v>14269124.399999999</v>
      </c>
      <c r="F264" s="2">
        <v>18032917.98</v>
      </c>
      <c r="G264" s="2">
        <v>17545187.649999999</v>
      </c>
      <c r="H264" s="2">
        <v>19092280.18</v>
      </c>
      <c r="I264" s="2">
        <v>17801091.5</v>
      </c>
      <c r="J264" s="2">
        <v>6617143.6099999994</v>
      </c>
      <c r="K264" s="2">
        <v>108894618.17</v>
      </c>
      <c r="L264" s="2"/>
      <c r="M264" t="str">
        <f t="shared" si="13"/>
        <v>insert into business_analytic.report.orenda values(2026, 1, '2021138100', 'Київ,Фора-408 Зарічна,6', NULL, 15536872.85, 'TO');</v>
      </c>
      <c r="N264" t="str">
        <f t="shared" si="14"/>
        <v>insert into business_analytic.report.orenda values(2026, 2, '2021138100', 'Київ,Фора-408 Зарічна,6', NULL, 14269124.4, 'TO');</v>
      </c>
      <c r="O264" t="str">
        <f t="shared" si="14"/>
        <v>insert into business_analytic.report.orenda values(2026, 3, '2021138100', 'Київ,Фора-408 Зарічна,6', NULL, 18032917.98, 'TO');</v>
      </c>
      <c r="P264" t="str">
        <f t="shared" si="15"/>
        <v>insert into business_analytic.report.orenda values(2026, 4, '2021138100', 'Київ,Фора-408 Зарічна,6', NULL, 17545187.65, 'TO');</v>
      </c>
      <c r="Q264" t="str">
        <f t="shared" si="16"/>
        <v>insert into business_analytic.report.orenda values(2026, 5, '2021138100', 'Київ,Фора-408 Зарічна,6', NULL, 19092280.18, 'TO');</v>
      </c>
    </row>
    <row r="265" spans="1:17" x14ac:dyDescent="0.3">
      <c r="A265" t="s">
        <v>193</v>
      </c>
      <c r="B265" t="s">
        <v>520</v>
      </c>
      <c r="C265" t="s">
        <v>813</v>
      </c>
      <c r="D265" s="2">
        <v>11097827.529999999</v>
      </c>
      <c r="E265" s="2">
        <v>10933491.309999999</v>
      </c>
      <c r="F265" s="2">
        <v>14526463.679999998</v>
      </c>
      <c r="G265" s="2">
        <v>14036644.65</v>
      </c>
      <c r="H265" s="2">
        <v>15628168.869999999</v>
      </c>
      <c r="I265" s="2">
        <v>14569182.17</v>
      </c>
      <c r="J265" s="2">
        <v>5216012.0199999996</v>
      </c>
      <c r="K265" s="2">
        <v>86007790.229999989</v>
      </c>
      <c r="L265" s="2"/>
      <c r="M265" t="str">
        <f t="shared" ref="M265:M328" si="17">"insert into business_analytic.report.orenda values("&amp;2026&amp;", "&amp;D$7&amp;", '"&amp;$A265&amp;"', '"&amp;$B265&amp;"', "&amp;"NULL"&amp;", "&amp;IF(D265="",0,D265)&amp;", "&amp;"'TO'"&amp;");"</f>
        <v>insert into business_analytic.report.orenda values(2026, 1, '2021138200', 'Київ,Фора-409 Лютеранська,3', NULL, 11097827.53, 'TO');</v>
      </c>
      <c r="N265" t="str">
        <f t="shared" ref="N265:O328" si="18">"insert into business_analytic.report.orenda values("&amp;2026&amp;", "&amp;E$7&amp;", '"&amp;$A265&amp;"', '"&amp;$B265&amp;"', "&amp;"NULL"&amp;", "&amp;IF(E265="",0,E265)&amp;", "&amp;"'TO'"&amp;");"</f>
        <v>insert into business_analytic.report.orenda values(2026, 2, '2021138200', 'Київ,Фора-409 Лютеранська,3', NULL, 10933491.31, 'TO');</v>
      </c>
      <c r="O265" t="str">
        <f t="shared" si="18"/>
        <v>insert into business_analytic.report.orenda values(2026, 3, '2021138200', 'Київ,Фора-409 Лютеранська,3', NULL, 14526463.68, 'TO');</v>
      </c>
      <c r="P265" t="str">
        <f t="shared" ref="P265:P328" si="19">"insert into business_analytic.report.orenda values("&amp;2026&amp;", "&amp;G$7&amp;", '"&amp;$A265&amp;"', '"&amp;$B265&amp;"', "&amp;"NULL"&amp;", "&amp;IF(G265="",0,G265)&amp;", "&amp;"'TO'"&amp;");"</f>
        <v>insert into business_analytic.report.orenda values(2026, 4, '2021138200', 'Київ,Фора-409 Лютеранська,3', NULL, 14036644.65, 'TO');</v>
      </c>
      <c r="Q265" t="str">
        <f t="shared" ref="Q265:Q328" si="20">"insert into business_analytic.report.orenda values("&amp;2026&amp;", "&amp;H$7&amp;", '"&amp;$A265&amp;"', '"&amp;$B265&amp;"', "&amp;"NULL"&amp;", "&amp;IF(H265="",0,H265)&amp;", "&amp;"'TO'"&amp;");"</f>
        <v>insert into business_analytic.report.orenda values(2026, 5, '2021138200', 'Київ,Фора-409 Лютеранська,3', NULL, 15628168.87, 'TO');</v>
      </c>
    </row>
    <row r="266" spans="1:17" x14ac:dyDescent="0.3">
      <c r="A266" t="s">
        <v>194</v>
      </c>
      <c r="B266" t="s">
        <v>521</v>
      </c>
      <c r="C266" t="s">
        <v>814</v>
      </c>
      <c r="D266" s="2">
        <v>13640202.640000001</v>
      </c>
      <c r="E266" s="2">
        <v>13208906.75</v>
      </c>
      <c r="F266" s="2">
        <v>15080986.799999999</v>
      </c>
      <c r="G266" s="2">
        <v>14653232.939999999</v>
      </c>
      <c r="H266" s="2">
        <v>15218269.34</v>
      </c>
      <c r="I266" s="2">
        <v>14610954.18</v>
      </c>
      <c r="J266" s="2">
        <v>5434903.8799999999</v>
      </c>
      <c r="K266" s="2">
        <v>91847456.530000001</v>
      </c>
      <c r="L266" s="2"/>
      <c r="M266" t="str">
        <f t="shared" si="17"/>
        <v>insert into business_analytic.report.orenda values(2026, 1, '2021138300', 'Київ,Фора-410 Преображенська,28', NULL, 13640202.64, 'TO');</v>
      </c>
      <c r="N266" t="str">
        <f t="shared" si="18"/>
        <v>insert into business_analytic.report.orenda values(2026, 2, '2021138300', 'Київ,Фора-410 Преображенська,28', NULL, 13208906.75, 'TO');</v>
      </c>
      <c r="O266" t="str">
        <f t="shared" si="18"/>
        <v>insert into business_analytic.report.orenda values(2026, 3, '2021138300', 'Київ,Фора-410 Преображенська,28', NULL, 15080986.8, 'TO');</v>
      </c>
      <c r="P266" t="str">
        <f t="shared" si="19"/>
        <v>insert into business_analytic.report.orenda values(2026, 4, '2021138300', 'Київ,Фора-410 Преображенська,28', NULL, 14653232.94, 'TO');</v>
      </c>
      <c r="Q266" t="str">
        <f t="shared" si="20"/>
        <v>insert into business_analytic.report.orenda values(2026, 5, '2021138300', 'Київ,Фора-410 Преображенська,28', NULL, 15218269.34, 'TO');</v>
      </c>
    </row>
    <row r="267" spans="1:17" x14ac:dyDescent="0.3">
      <c r="A267" t="s">
        <v>195</v>
      </c>
      <c r="B267" t="s">
        <v>522</v>
      </c>
      <c r="C267" t="s">
        <v>815</v>
      </c>
      <c r="D267" s="2">
        <v>11700984.649999999</v>
      </c>
      <c r="E267" s="2">
        <v>11363995.869999999</v>
      </c>
      <c r="F267" s="2">
        <v>13002818.299999999</v>
      </c>
      <c r="G267" s="2">
        <v>13344186.449999999</v>
      </c>
      <c r="H267" s="2">
        <v>13624238.049999999</v>
      </c>
      <c r="I267" s="2">
        <v>14083372.389999999</v>
      </c>
      <c r="J267" s="2">
        <v>5248723.4499999993</v>
      </c>
      <c r="K267" s="2">
        <v>82368319.159999982</v>
      </c>
      <c r="L267" s="2"/>
      <c r="M267" t="str">
        <f t="shared" si="17"/>
        <v>insert into business_analytic.report.orenda values(2026, 1, '2021138400', 'Київ,Фора-411 Гавела Вацлава,4', NULL, 11700984.65, 'TO');</v>
      </c>
      <c r="N267" t="str">
        <f t="shared" si="18"/>
        <v>insert into business_analytic.report.orenda values(2026, 2, '2021138400', 'Київ,Фора-411 Гавела Вацлава,4', NULL, 11363995.87, 'TO');</v>
      </c>
      <c r="O267" t="str">
        <f t="shared" si="18"/>
        <v>insert into business_analytic.report.orenda values(2026, 3, '2021138400', 'Київ,Фора-411 Гавела Вацлава,4', NULL, 13002818.3, 'TO');</v>
      </c>
      <c r="P267" t="str">
        <f t="shared" si="19"/>
        <v>insert into business_analytic.report.orenda values(2026, 4, '2021138400', 'Київ,Фора-411 Гавела Вацлава,4', NULL, 13344186.45, 'TO');</v>
      </c>
      <c r="Q267" t="str">
        <f t="shared" si="20"/>
        <v>insert into business_analytic.report.orenda values(2026, 5, '2021138400', 'Київ,Фора-411 Гавела Вацлава,4', NULL, 13624238.05, 'TO');</v>
      </c>
    </row>
    <row r="268" spans="1:17" x14ac:dyDescent="0.3">
      <c r="A268" t="s">
        <v>196</v>
      </c>
      <c r="B268" t="s">
        <v>523</v>
      </c>
      <c r="C268" t="s">
        <v>816</v>
      </c>
      <c r="D268" s="2">
        <v>10193813.699999999</v>
      </c>
      <c r="E268" s="2">
        <v>9857544.459999999</v>
      </c>
      <c r="F268" s="2">
        <v>10836545.239999998</v>
      </c>
      <c r="G268" s="2">
        <v>10462693.519999998</v>
      </c>
      <c r="H268" s="2">
        <v>11093917.609999999</v>
      </c>
      <c r="I268" s="2">
        <v>10616100.050000001</v>
      </c>
      <c r="J268" s="2">
        <v>3844435.54</v>
      </c>
      <c r="K268" s="2">
        <v>66905050.120000005</v>
      </c>
      <c r="L268" s="2"/>
      <c r="M268" t="str">
        <f t="shared" si="17"/>
        <v>insert into business_analytic.report.orenda values(2026, 1, '2021138800', 'Київ,Фора-416 Донецька,8А', NULL, 10193813.7, 'TO');</v>
      </c>
      <c r="N268" t="str">
        <f t="shared" si="18"/>
        <v>insert into business_analytic.report.orenda values(2026, 2, '2021138800', 'Київ,Фора-416 Донецька,8А', NULL, 9857544.46, 'TO');</v>
      </c>
      <c r="O268" t="str">
        <f t="shared" si="18"/>
        <v>insert into business_analytic.report.orenda values(2026, 3, '2021138800', 'Київ,Фора-416 Донецька,8А', NULL, 10836545.24, 'TO');</v>
      </c>
      <c r="P268" t="str">
        <f t="shared" si="19"/>
        <v>insert into business_analytic.report.orenda values(2026, 4, '2021138800', 'Київ,Фора-416 Донецька,8А', NULL, 10462693.52, 'TO');</v>
      </c>
      <c r="Q268" t="str">
        <f t="shared" si="20"/>
        <v>insert into business_analytic.report.orenda values(2026, 5, '2021138800', 'Київ,Фора-416 Донецька,8А', NULL, 11093917.61, 'TO');</v>
      </c>
    </row>
    <row r="269" spans="1:17" x14ac:dyDescent="0.3">
      <c r="A269" t="s">
        <v>43</v>
      </c>
      <c r="B269" t="s">
        <v>524</v>
      </c>
      <c r="C269" t="s">
        <v>817</v>
      </c>
      <c r="D269" s="2">
        <v>12654027.58</v>
      </c>
      <c r="E269" s="2">
        <v>12435715.040000001</v>
      </c>
      <c r="F269" s="2">
        <v>15350037.91</v>
      </c>
      <c r="G269" s="2">
        <v>16173861.1</v>
      </c>
      <c r="H269" s="2">
        <v>17113699.899999999</v>
      </c>
      <c r="I269" s="2">
        <v>15716922.639999999</v>
      </c>
      <c r="J269" s="2">
        <v>4970253.67</v>
      </c>
      <c r="K269" s="2">
        <v>94414517.840000004</v>
      </c>
      <c r="L269" s="2"/>
      <c r="M269" t="str">
        <f t="shared" si="17"/>
        <v>insert into business_analytic.report.orenda values(2026, 1, '2021139000', 'Київ,Фора-418 Берестейський,60', NULL, 12654027.58, 'TO');</v>
      </c>
      <c r="N269" t="str">
        <f t="shared" si="18"/>
        <v>insert into business_analytic.report.orenda values(2026, 2, '2021139000', 'Київ,Фора-418 Берестейський,60', NULL, 12435715.04, 'TO');</v>
      </c>
      <c r="O269" t="str">
        <f t="shared" si="18"/>
        <v>insert into business_analytic.report.orenda values(2026, 3, '2021139000', 'Київ,Фора-418 Берестейський,60', NULL, 15350037.91, 'TO');</v>
      </c>
      <c r="P269" t="str">
        <f t="shared" si="19"/>
        <v>insert into business_analytic.report.orenda values(2026, 4, '2021139000', 'Київ,Фора-418 Берестейський,60', NULL, 16173861.1, 'TO');</v>
      </c>
      <c r="Q269" t="str">
        <f t="shared" si="20"/>
        <v>insert into business_analytic.report.orenda values(2026, 5, '2021139000', 'Київ,Фора-418 Берестейський,60', NULL, 17113699.9, 'TO');</v>
      </c>
    </row>
    <row r="270" spans="1:17" x14ac:dyDescent="0.3">
      <c r="A270" t="s">
        <v>44</v>
      </c>
      <c r="B270" t="s">
        <v>525</v>
      </c>
      <c r="C270" t="s">
        <v>818</v>
      </c>
      <c r="D270" s="2">
        <v>13918396.379999999</v>
      </c>
      <c r="E270" s="2">
        <v>13257991.439999999</v>
      </c>
      <c r="F270" s="2">
        <v>14831541.18</v>
      </c>
      <c r="G270" s="2">
        <v>14684816.649999999</v>
      </c>
      <c r="H270" s="2">
        <v>14588787.529999999</v>
      </c>
      <c r="I270" s="2">
        <v>13699503.319999998</v>
      </c>
      <c r="J270" s="2">
        <v>5085321.57</v>
      </c>
      <c r="K270" s="2">
        <v>90066358.069999993</v>
      </c>
      <c r="L270" s="2"/>
      <c r="M270" t="str">
        <f t="shared" si="17"/>
        <v>insert into business_analytic.report.orenda values(2026, 1, '2021139100', 'БЦерква,Фора-420 Олександрійський,58Г', NULL, 13918396.38, 'TO');</v>
      </c>
      <c r="N270" t="str">
        <f t="shared" si="18"/>
        <v>insert into business_analytic.report.orenda values(2026, 2, '2021139100', 'БЦерква,Фора-420 Олександрійський,58Г', NULL, 13257991.44, 'TO');</v>
      </c>
      <c r="O270" t="str">
        <f t="shared" si="18"/>
        <v>insert into business_analytic.report.orenda values(2026, 3, '2021139100', 'БЦерква,Фора-420 Олександрійський,58Г', NULL, 14831541.18, 'TO');</v>
      </c>
      <c r="P270" t="str">
        <f t="shared" si="19"/>
        <v>insert into business_analytic.report.orenda values(2026, 4, '2021139100', 'БЦерква,Фора-420 Олександрійський,58Г', NULL, 14684816.65, 'TO');</v>
      </c>
      <c r="Q270" t="str">
        <f t="shared" si="20"/>
        <v>insert into business_analytic.report.orenda values(2026, 5, '2021139100', 'БЦерква,Фора-420 Олександрійський,58Г', NULL, 14588787.53, 'TO');</v>
      </c>
    </row>
    <row r="271" spans="1:17" x14ac:dyDescent="0.3">
      <c r="A271" t="s">
        <v>45</v>
      </c>
      <c r="B271" t="s">
        <v>526</v>
      </c>
      <c r="C271" t="s">
        <v>819</v>
      </c>
      <c r="D271" s="2">
        <v>8691346.4299999997</v>
      </c>
      <c r="E271" s="2">
        <v>8423981.0499999989</v>
      </c>
      <c r="F271" s="2">
        <v>9104679.3599999994</v>
      </c>
      <c r="G271" s="2">
        <v>8910565.3099999987</v>
      </c>
      <c r="H271" s="2">
        <v>9377013.879999999</v>
      </c>
      <c r="I271" s="2">
        <v>9280742.1400000006</v>
      </c>
      <c r="J271" s="2">
        <v>3687157.44</v>
      </c>
      <c r="K271" s="2">
        <v>57475485.609999985</v>
      </c>
      <c r="L271" s="2"/>
      <c r="M271" t="str">
        <f t="shared" si="17"/>
        <v>insert into business_analytic.report.orenda values(2026, 1, '2021139200', 'Біла Церква,Фора-421 Шевченка,87', NULL, 8691346.43, 'TO');</v>
      </c>
      <c r="N271" t="str">
        <f t="shared" si="18"/>
        <v>insert into business_analytic.report.orenda values(2026, 2, '2021139200', 'Біла Церква,Фора-421 Шевченка,87', NULL, 8423981.05, 'TO');</v>
      </c>
      <c r="O271" t="str">
        <f t="shared" si="18"/>
        <v>insert into business_analytic.report.orenda values(2026, 3, '2021139200', 'Біла Церква,Фора-421 Шевченка,87', NULL, 9104679.36, 'TO');</v>
      </c>
      <c r="P271" t="str">
        <f t="shared" si="19"/>
        <v>insert into business_analytic.report.orenda values(2026, 4, '2021139200', 'Біла Церква,Фора-421 Шевченка,87', NULL, 8910565.31, 'TO');</v>
      </c>
      <c r="Q271" t="str">
        <f t="shared" si="20"/>
        <v>insert into business_analytic.report.orenda values(2026, 5, '2021139200', 'Біла Церква,Фора-421 Шевченка,87', NULL, 9377013.88, 'TO');</v>
      </c>
    </row>
    <row r="272" spans="1:17" x14ac:dyDescent="0.3">
      <c r="A272" t="s">
        <v>399</v>
      </c>
      <c r="B272" t="s">
        <v>1165</v>
      </c>
      <c r="C272" t="s">
        <v>876</v>
      </c>
      <c r="D272" s="2">
        <v>5768479.9199999999</v>
      </c>
      <c r="E272" s="2">
        <v>5441718.0800000001</v>
      </c>
      <c r="F272" s="2">
        <v>6377068.7999999989</v>
      </c>
      <c r="G272" s="2">
        <v>6352052.0799999991</v>
      </c>
      <c r="H272" s="2">
        <v>6863751.0999999996</v>
      </c>
      <c r="I272" s="2">
        <v>6545790.2999999998</v>
      </c>
      <c r="J272" s="2">
        <v>2456317.09</v>
      </c>
      <c r="K272" s="2">
        <v>39805177.36999999</v>
      </c>
      <c r="L272" s="2"/>
      <c r="M272" t="str">
        <f t="shared" si="17"/>
        <v>insert into business_analytic.report.orenda values(2026, 1, '2021139600', 'Київ,Фора-427 Воскресенська,2В', NULL, 5768479.92, 'TO');</v>
      </c>
      <c r="N272" t="str">
        <f t="shared" si="18"/>
        <v>insert into business_analytic.report.orenda values(2026, 2, '2021139600', 'Київ,Фора-427 Воскресенська,2В', NULL, 5441718.08, 'TO');</v>
      </c>
      <c r="O272" t="str">
        <f t="shared" si="18"/>
        <v>insert into business_analytic.report.orenda values(2026, 3, '2021139600', 'Київ,Фора-427 Воскресенська,2В', NULL, 6377068.8, 'TO');</v>
      </c>
      <c r="P272" t="str">
        <f t="shared" si="19"/>
        <v>insert into business_analytic.report.orenda values(2026, 4, '2021139600', 'Київ,Фора-427 Воскресенська,2В', NULL, 6352052.08, 'TO');</v>
      </c>
      <c r="Q272" t="str">
        <f t="shared" si="20"/>
        <v>insert into business_analytic.report.orenda values(2026, 5, '2021139600', 'Київ,Фора-427 Воскресенська,2В', NULL, 6863751.1, 'TO');</v>
      </c>
    </row>
    <row r="273" spans="1:17" x14ac:dyDescent="0.3">
      <c r="A273" t="s">
        <v>46</v>
      </c>
      <c r="B273" t="s">
        <v>527</v>
      </c>
      <c r="C273" t="s">
        <v>820</v>
      </c>
      <c r="D273" s="2">
        <v>14050659.399999999</v>
      </c>
      <c r="E273" s="2">
        <v>13523829.869999999</v>
      </c>
      <c r="F273" s="2">
        <v>15436522.460000001</v>
      </c>
      <c r="G273" s="2">
        <v>15357719.610000001</v>
      </c>
      <c r="H273" s="2">
        <v>16510114.42</v>
      </c>
      <c r="I273" s="2">
        <v>16179787.800000001</v>
      </c>
      <c r="J273" s="2">
        <v>5882435.0099999998</v>
      </c>
      <c r="K273" s="2">
        <v>96941068.569999993</v>
      </c>
      <c r="L273" s="2"/>
      <c r="M273" t="str">
        <f t="shared" si="17"/>
        <v>insert into business_analytic.report.orenda values(2026, 1, '2021139700', 'Київ,Фора-428 Чорновола,27', NULL, 14050659.4, 'TO');</v>
      </c>
      <c r="N273" t="str">
        <f t="shared" si="18"/>
        <v>insert into business_analytic.report.orenda values(2026, 2, '2021139700', 'Київ,Фора-428 Чорновола,27', NULL, 13523829.87, 'TO');</v>
      </c>
      <c r="O273" t="str">
        <f t="shared" si="18"/>
        <v>insert into business_analytic.report.orenda values(2026, 3, '2021139700', 'Київ,Фора-428 Чорновола,27', NULL, 15436522.46, 'TO');</v>
      </c>
      <c r="P273" t="str">
        <f t="shared" si="19"/>
        <v>insert into business_analytic.report.orenda values(2026, 4, '2021139700', 'Київ,Фора-428 Чорновола,27', NULL, 15357719.61, 'TO');</v>
      </c>
      <c r="Q273" t="str">
        <f t="shared" si="20"/>
        <v>insert into business_analytic.report.orenda values(2026, 5, '2021139700', 'Київ,Фора-428 Чорновола,27', NULL, 16510114.42, 'TO');</v>
      </c>
    </row>
    <row r="274" spans="1:17" x14ac:dyDescent="0.3">
      <c r="A274" t="s">
        <v>197</v>
      </c>
      <c r="B274" t="s">
        <v>528</v>
      </c>
      <c r="C274" t="s">
        <v>816</v>
      </c>
      <c r="D274" s="2">
        <v>14762076.619999999</v>
      </c>
      <c r="E274" s="2">
        <v>13382602.209999999</v>
      </c>
      <c r="F274" s="2">
        <v>15088260.739999998</v>
      </c>
      <c r="G274" s="2">
        <v>15703599.499999998</v>
      </c>
      <c r="H274" s="2">
        <v>17056220.23</v>
      </c>
      <c r="I274" s="2">
        <v>17209747.52</v>
      </c>
      <c r="J274" s="2">
        <v>6767243.0799999991</v>
      </c>
      <c r="K274" s="2">
        <v>99969749.900000006</v>
      </c>
      <c r="L274" s="2"/>
      <c r="M274" t="str">
        <f t="shared" si="17"/>
        <v>insert into business_analytic.report.orenda values(2026, 1, '2021139900', 'Володарка,Фора-430 Миру,5', NULL, 14762076.62, 'TO');</v>
      </c>
      <c r="N274" t="str">
        <f t="shared" si="18"/>
        <v>insert into business_analytic.report.orenda values(2026, 2, '2021139900', 'Володарка,Фора-430 Миру,5', NULL, 13382602.21, 'TO');</v>
      </c>
      <c r="O274" t="str">
        <f t="shared" si="18"/>
        <v>insert into business_analytic.report.orenda values(2026, 3, '2021139900', 'Володарка,Фора-430 Миру,5', NULL, 15088260.74, 'TO');</v>
      </c>
      <c r="P274" t="str">
        <f t="shared" si="19"/>
        <v>insert into business_analytic.report.orenda values(2026, 4, '2021139900', 'Володарка,Фора-430 Миру,5', NULL, 15703599.5, 'TO');</v>
      </c>
      <c r="Q274" t="str">
        <f t="shared" si="20"/>
        <v>insert into business_analytic.report.orenda values(2026, 5, '2021139900', 'Володарка,Фора-430 Миру,5', NULL, 17056220.23, 'TO');</v>
      </c>
    </row>
    <row r="275" spans="1:17" x14ac:dyDescent="0.3">
      <c r="A275" t="s">
        <v>47</v>
      </c>
      <c r="B275" t="s">
        <v>529</v>
      </c>
      <c r="C275" t="s">
        <v>821</v>
      </c>
      <c r="D275" s="2">
        <v>13398354.48</v>
      </c>
      <c r="E275" s="2">
        <v>12754583.77</v>
      </c>
      <c r="F275" s="2">
        <v>13683480.739999998</v>
      </c>
      <c r="G275" s="2">
        <v>13708562.359999999</v>
      </c>
      <c r="H275" s="2">
        <v>14378866.540000001</v>
      </c>
      <c r="I275" s="2">
        <v>13436490.67</v>
      </c>
      <c r="J275" s="2">
        <v>5039664.6899999995</v>
      </c>
      <c r="K275" s="2">
        <v>86400003.25</v>
      </c>
      <c r="L275" s="2"/>
      <c r="M275" t="str">
        <f t="shared" si="17"/>
        <v>insert into business_analytic.report.orenda values(2026, 1, '2021140000', 'Ірпінь,Фора-462 Антонова,6', NULL, 13398354.48, 'TO');</v>
      </c>
      <c r="N275" t="str">
        <f t="shared" si="18"/>
        <v>insert into business_analytic.report.orenda values(2026, 2, '2021140000', 'Ірпінь,Фора-462 Антонова,6', NULL, 12754583.77, 'TO');</v>
      </c>
      <c r="O275" t="str">
        <f t="shared" si="18"/>
        <v>insert into business_analytic.report.orenda values(2026, 3, '2021140000', 'Ірпінь,Фора-462 Антонова,6', NULL, 13683480.74, 'TO');</v>
      </c>
      <c r="P275" t="str">
        <f t="shared" si="19"/>
        <v>insert into business_analytic.report.orenda values(2026, 4, '2021140000', 'Ірпінь,Фора-462 Антонова,6', NULL, 13708562.36, 'TO');</v>
      </c>
      <c r="Q275" t="str">
        <f t="shared" si="20"/>
        <v>insert into business_analytic.report.orenda values(2026, 5, '2021140000', 'Ірпінь,Фора-462 Антонова,6', NULL, 14378866.54, 'TO');</v>
      </c>
    </row>
    <row r="276" spans="1:17" x14ac:dyDescent="0.3">
      <c r="A276" t="s">
        <v>48</v>
      </c>
      <c r="B276" t="s">
        <v>530</v>
      </c>
      <c r="C276" t="s">
        <v>822</v>
      </c>
      <c r="D276" s="2">
        <v>12018362.01</v>
      </c>
      <c r="E276" s="2">
        <v>10983733.02</v>
      </c>
      <c r="F276" s="2">
        <v>12781167.399999999</v>
      </c>
      <c r="G276" s="2">
        <v>11890885.52</v>
      </c>
      <c r="H276" s="2">
        <v>12498128.49</v>
      </c>
      <c r="I276" s="2">
        <v>11387402.26</v>
      </c>
      <c r="J276" s="2">
        <v>4186409.9400000004</v>
      </c>
      <c r="K276" s="2">
        <v>75746088.640000001</v>
      </c>
      <c r="L276" s="2"/>
      <c r="M276" t="str">
        <f t="shared" si="17"/>
        <v>insert into business_analytic.report.orenda values(2026, 1, '2021141000', 'Київ,Фора-463 Івасюка,39В', NULL, 12018362.01, 'TO');</v>
      </c>
      <c r="N276" t="str">
        <f t="shared" si="18"/>
        <v>insert into business_analytic.report.orenda values(2026, 2, '2021141000', 'Київ,Фора-463 Івасюка,39В', NULL, 10983733.02, 'TO');</v>
      </c>
      <c r="O276" t="str">
        <f t="shared" si="18"/>
        <v>insert into business_analytic.report.orenda values(2026, 3, '2021141000', 'Київ,Фора-463 Івасюка,39В', NULL, 12781167.4, 'TO');</v>
      </c>
      <c r="P276" t="str">
        <f t="shared" si="19"/>
        <v>insert into business_analytic.report.orenda values(2026, 4, '2021141000', 'Київ,Фора-463 Івасюка,39В', NULL, 11890885.52, 'TO');</v>
      </c>
      <c r="Q276" t="str">
        <f t="shared" si="20"/>
        <v>insert into business_analytic.report.orenda values(2026, 5, '2021141000', 'Київ,Фора-463 Івасюка,39В', NULL, 12498128.49, 'TO');</v>
      </c>
    </row>
    <row r="277" spans="1:17" x14ac:dyDescent="0.3">
      <c r="A277" t="s">
        <v>49</v>
      </c>
      <c r="B277" t="s">
        <v>531</v>
      </c>
      <c r="C277" t="s">
        <v>823</v>
      </c>
      <c r="D277" s="2">
        <v>10857338.33</v>
      </c>
      <c r="E277" s="2">
        <v>10271590.479999999</v>
      </c>
      <c r="F277" s="2">
        <v>11575837.6</v>
      </c>
      <c r="G277" s="2">
        <v>11681804.529999997</v>
      </c>
      <c r="H277" s="2">
        <v>12552646.1</v>
      </c>
      <c r="I277" s="2">
        <v>11872117.709999999</v>
      </c>
      <c r="J277" s="2">
        <v>4477686.01</v>
      </c>
      <c r="K277" s="2">
        <v>73289020.75999999</v>
      </c>
      <c r="L277" s="2"/>
      <c r="M277" t="str">
        <f t="shared" si="17"/>
        <v>insert into business_analytic.report.orenda values(2026, 1, '2021142000', 'Київ,Фора-464 Оболонський,51В', NULL, 10857338.33, 'TO');</v>
      </c>
      <c r="N277" t="str">
        <f t="shared" si="18"/>
        <v>insert into business_analytic.report.orenda values(2026, 2, '2021142000', 'Київ,Фора-464 Оболонський,51В', NULL, 10271590.48, 'TO');</v>
      </c>
      <c r="O277" t="str">
        <f t="shared" si="18"/>
        <v>insert into business_analytic.report.orenda values(2026, 3, '2021142000', 'Київ,Фора-464 Оболонський,51В', NULL, 11575837.6, 'TO');</v>
      </c>
      <c r="P277" t="str">
        <f t="shared" si="19"/>
        <v>insert into business_analytic.report.orenda values(2026, 4, '2021142000', 'Київ,Фора-464 Оболонський,51В', NULL, 11681804.53, 'TO');</v>
      </c>
      <c r="Q277" t="str">
        <f t="shared" si="20"/>
        <v>insert into business_analytic.report.orenda values(2026, 5, '2021142000', 'Київ,Фора-464 Оболонський,51В', NULL, 12552646.1, 'TO');</v>
      </c>
    </row>
    <row r="278" spans="1:17" x14ac:dyDescent="0.3">
      <c r="A278" t="s">
        <v>198</v>
      </c>
      <c r="B278" t="s">
        <v>532</v>
      </c>
      <c r="C278" t="s">
        <v>824</v>
      </c>
      <c r="D278" s="2">
        <v>16684887.469999999</v>
      </c>
      <c r="E278" s="2">
        <v>15495036</v>
      </c>
      <c r="F278" s="2">
        <v>17170703.129999999</v>
      </c>
      <c r="G278" s="2">
        <v>16181127.989999998</v>
      </c>
      <c r="H278" s="2">
        <v>17343393</v>
      </c>
      <c r="I278" s="2">
        <v>16172935.419999998</v>
      </c>
      <c r="J278" s="2">
        <v>5869070.8199999994</v>
      </c>
      <c r="K278" s="2">
        <v>104917153.82999998</v>
      </c>
      <c r="L278" s="2"/>
      <c r="M278" t="str">
        <f t="shared" si="17"/>
        <v>insert into business_analytic.report.orenda values(2026, 1, '2021143000', 'Київ,Фора-465 Парково-Сирецька,1', NULL, 16684887.47, 'TO');</v>
      </c>
      <c r="N278" t="str">
        <f t="shared" si="18"/>
        <v>insert into business_analytic.report.orenda values(2026, 2, '2021143000', 'Київ,Фора-465 Парково-Сирецька,1', NULL, 15495036, 'TO');</v>
      </c>
      <c r="O278" t="str">
        <f t="shared" si="18"/>
        <v>insert into business_analytic.report.orenda values(2026, 3, '2021143000', 'Київ,Фора-465 Парково-Сирецька,1', NULL, 17170703.13, 'TO');</v>
      </c>
      <c r="P278" t="str">
        <f t="shared" si="19"/>
        <v>insert into business_analytic.report.orenda values(2026, 4, '2021143000', 'Київ,Фора-465 Парково-Сирецька,1', NULL, 16181127.99, 'TO');</v>
      </c>
      <c r="Q278" t="str">
        <f t="shared" si="20"/>
        <v>insert into business_analytic.report.orenda values(2026, 5, '2021143000', 'Київ,Фора-465 Парково-Сирецька,1', NULL, 17343393, 'TO');</v>
      </c>
    </row>
    <row r="279" spans="1:17" x14ac:dyDescent="0.3">
      <c r="A279" t="s">
        <v>199</v>
      </c>
      <c r="B279" t="s">
        <v>533</v>
      </c>
      <c r="C279" t="s">
        <v>825</v>
      </c>
      <c r="D279" s="2">
        <v>18403503.219999995</v>
      </c>
      <c r="E279" s="2">
        <v>17219586.379999999</v>
      </c>
      <c r="F279" s="2">
        <v>19654339.02</v>
      </c>
      <c r="G279" s="2">
        <v>19000974.289999999</v>
      </c>
      <c r="H279" s="2">
        <v>19930610.120000001</v>
      </c>
      <c r="I279" s="2">
        <v>19145056.82</v>
      </c>
      <c r="J279" s="2">
        <v>7060052.6099999994</v>
      </c>
      <c r="K279" s="2">
        <v>120414122.45999999</v>
      </c>
      <c r="L279" s="2"/>
      <c r="M279" t="str">
        <f t="shared" si="17"/>
        <v>insert into business_analytic.report.orenda values(2026, 1, '2021145000', 'Київ,Фора-469 Шухевича,12', NULL, 18403503.22, 'TO');</v>
      </c>
      <c r="N279" t="str">
        <f t="shared" si="18"/>
        <v>insert into business_analytic.report.orenda values(2026, 2, '2021145000', 'Київ,Фора-469 Шухевича,12', NULL, 17219586.38, 'TO');</v>
      </c>
      <c r="O279" t="str">
        <f t="shared" si="18"/>
        <v>insert into business_analytic.report.orenda values(2026, 3, '2021145000', 'Київ,Фора-469 Шухевича,12', NULL, 19654339.02, 'TO');</v>
      </c>
      <c r="P279" t="str">
        <f t="shared" si="19"/>
        <v>insert into business_analytic.report.orenda values(2026, 4, '2021145000', 'Київ,Фора-469 Шухевича,12', NULL, 19000974.29, 'TO');</v>
      </c>
      <c r="Q279" t="str">
        <f t="shared" si="20"/>
        <v>insert into business_analytic.report.orenda values(2026, 5, '2021145000', 'Київ,Фора-469 Шухевича,12', NULL, 19930610.12, 'TO');</v>
      </c>
    </row>
    <row r="280" spans="1:17" x14ac:dyDescent="0.3">
      <c r="A280" t="s">
        <v>200</v>
      </c>
      <c r="B280" t="s">
        <v>534</v>
      </c>
      <c r="C280" t="s">
        <v>826</v>
      </c>
      <c r="D280" s="2">
        <v>10484218.789999999</v>
      </c>
      <c r="E280" s="2">
        <v>9643231.75</v>
      </c>
      <c r="F280" s="2">
        <v>11625943.25</v>
      </c>
      <c r="G280" s="2">
        <v>11863816.109999999</v>
      </c>
      <c r="H280" s="2">
        <v>12913933.970000001</v>
      </c>
      <c r="I280" s="2">
        <v>12104648.540000001</v>
      </c>
      <c r="J280" s="2">
        <v>4452682.46</v>
      </c>
      <c r="K280" s="2">
        <v>73088474.86999999</v>
      </c>
      <c r="L280" s="2"/>
      <c r="M280" t="str">
        <f t="shared" si="17"/>
        <v>insert into business_analytic.report.orenda values(2026, 1, '2021146100', 'Київ,Фора-489 Братства Тарасівців,3', NULL, 10484218.79, 'TO');</v>
      </c>
      <c r="N280" t="str">
        <f t="shared" si="18"/>
        <v>insert into business_analytic.report.orenda values(2026, 2, '2021146100', 'Київ,Фора-489 Братства Тарасівців,3', NULL, 9643231.75, 'TO');</v>
      </c>
      <c r="O280" t="str">
        <f t="shared" si="18"/>
        <v>insert into business_analytic.report.orenda values(2026, 3, '2021146100', 'Київ,Фора-489 Братства Тарасівців,3', NULL, 11625943.25, 'TO');</v>
      </c>
      <c r="P280" t="str">
        <f t="shared" si="19"/>
        <v>insert into business_analytic.report.orenda values(2026, 4, '2021146100', 'Київ,Фора-489 Братства Тарасівців,3', NULL, 11863816.11, 'TO');</v>
      </c>
      <c r="Q280" t="str">
        <f t="shared" si="20"/>
        <v>insert into business_analytic.report.orenda values(2026, 5, '2021146100', 'Київ,Фора-489 Братства Тарасівців,3', NULL, 12913933.97, 'TO');</v>
      </c>
    </row>
    <row r="281" spans="1:17" x14ac:dyDescent="0.3">
      <c r="A281" t="s">
        <v>50</v>
      </c>
      <c r="B281" t="s">
        <v>535</v>
      </c>
      <c r="C281" t="s">
        <v>424</v>
      </c>
      <c r="D281" s="2">
        <v>5385109.8799999999</v>
      </c>
      <c r="E281" s="2">
        <v>5249906.2399999993</v>
      </c>
      <c r="F281" s="2">
        <v>6344119.6899999995</v>
      </c>
      <c r="G281" s="2">
        <v>6416159.9400000004</v>
      </c>
      <c r="H281" s="2">
        <v>6759701.9399999995</v>
      </c>
      <c r="I281" s="2">
        <v>6329797.4500000002</v>
      </c>
      <c r="J281" s="2">
        <v>2104292.81</v>
      </c>
      <c r="K281" s="2">
        <v>38589087.949999996</v>
      </c>
      <c r="L281" s="2"/>
      <c r="M281" t="str">
        <f t="shared" si="17"/>
        <v>insert into business_analytic.report.orenda values(2026, 1, '2021146200', 'Київ,Фора-490 Повітряних Сил,44', NULL, 5385109.88, 'TO');</v>
      </c>
      <c r="N281" t="str">
        <f t="shared" si="18"/>
        <v>insert into business_analytic.report.orenda values(2026, 2, '2021146200', 'Київ,Фора-490 Повітряних Сил,44', NULL, 5249906.24, 'TO');</v>
      </c>
      <c r="O281" t="str">
        <f t="shared" si="18"/>
        <v>insert into business_analytic.report.orenda values(2026, 3, '2021146200', 'Київ,Фора-490 Повітряних Сил,44', NULL, 6344119.69, 'TO');</v>
      </c>
      <c r="P281" t="str">
        <f t="shared" si="19"/>
        <v>insert into business_analytic.report.orenda values(2026, 4, '2021146200', 'Київ,Фора-490 Повітряних Сил,44', NULL, 6416159.94, 'TO');</v>
      </c>
      <c r="Q281" t="str">
        <f t="shared" si="20"/>
        <v>insert into business_analytic.report.orenda values(2026, 5, '2021146200', 'Київ,Фора-490 Повітряних Сил,44', NULL, 6759701.94, 'TO');</v>
      </c>
    </row>
    <row r="282" spans="1:17" x14ac:dyDescent="0.3">
      <c r="A282" t="s">
        <v>51</v>
      </c>
      <c r="B282" t="s">
        <v>536</v>
      </c>
      <c r="C282" t="s">
        <v>827</v>
      </c>
      <c r="D282" s="2">
        <v>12364479.459999997</v>
      </c>
      <c r="E282" s="2">
        <v>11739216.4</v>
      </c>
      <c r="F282" s="2">
        <v>13132966.449999999</v>
      </c>
      <c r="G282" s="2">
        <v>13379598.029999999</v>
      </c>
      <c r="H282" s="2">
        <v>17629907.779999997</v>
      </c>
      <c r="I282" s="2">
        <v>16925663.309999999</v>
      </c>
      <c r="J282" s="2">
        <v>6303056.2599999998</v>
      </c>
      <c r="K282" s="2">
        <v>91474887.689999998</v>
      </c>
      <c r="L282" s="2"/>
      <c r="M282" t="str">
        <f t="shared" si="17"/>
        <v>insert into business_analytic.report.orenda values(2026, 1, '2021146300', 'Обухів,Фора-491 Каштанова,6/1', NULL, 12364479.46, 'TO');</v>
      </c>
      <c r="N282" t="str">
        <f t="shared" si="18"/>
        <v>insert into business_analytic.report.orenda values(2026, 2, '2021146300', 'Обухів,Фора-491 Каштанова,6/1', NULL, 11739216.4, 'TO');</v>
      </c>
      <c r="O282" t="str">
        <f t="shared" si="18"/>
        <v>insert into business_analytic.report.orenda values(2026, 3, '2021146300', 'Обухів,Фора-491 Каштанова,6/1', NULL, 13132966.45, 'TO');</v>
      </c>
      <c r="P282" t="str">
        <f t="shared" si="19"/>
        <v>insert into business_analytic.report.orenda values(2026, 4, '2021146300', 'Обухів,Фора-491 Каштанова,6/1', NULL, 13379598.03, 'TO');</v>
      </c>
      <c r="Q282" t="str">
        <f t="shared" si="20"/>
        <v>insert into business_analytic.report.orenda values(2026, 5, '2021146300', 'Обухів,Фора-491 Каштанова,6/1', NULL, 17629907.78, 'TO');</v>
      </c>
    </row>
    <row r="283" spans="1:17" x14ac:dyDescent="0.3">
      <c r="A283" t="s">
        <v>201</v>
      </c>
      <c r="B283" t="s">
        <v>537</v>
      </c>
      <c r="C283" t="s">
        <v>828</v>
      </c>
      <c r="D283" s="2">
        <v>14134275.829999998</v>
      </c>
      <c r="E283" s="2">
        <v>15348803.129999997</v>
      </c>
      <c r="F283" s="2">
        <v>17821233.669999998</v>
      </c>
      <c r="G283" s="2">
        <v>16891344.279999997</v>
      </c>
      <c r="H283" s="2">
        <v>18139728.690000001</v>
      </c>
      <c r="I283" s="2">
        <v>17175123.829999998</v>
      </c>
      <c r="J283" s="2">
        <v>6074146.6799999997</v>
      </c>
      <c r="K283" s="2">
        <v>105584656.10999998</v>
      </c>
      <c r="L283" s="2"/>
      <c r="M283" t="str">
        <f t="shared" si="17"/>
        <v>insert into business_analytic.report.orenda values(2026, 1, '2021146400', 'Київ,Фора-495 Оболонський,26', NULL, 14134275.83, 'TO');</v>
      </c>
      <c r="N283" t="str">
        <f t="shared" si="18"/>
        <v>insert into business_analytic.report.orenda values(2026, 2, '2021146400', 'Київ,Фора-495 Оболонський,26', NULL, 15348803.13, 'TO');</v>
      </c>
      <c r="O283" t="str">
        <f t="shared" si="18"/>
        <v>insert into business_analytic.report.orenda values(2026, 3, '2021146400', 'Київ,Фора-495 Оболонський,26', NULL, 17821233.67, 'TO');</v>
      </c>
      <c r="P283" t="str">
        <f t="shared" si="19"/>
        <v>insert into business_analytic.report.orenda values(2026, 4, '2021146400', 'Київ,Фора-495 Оболонський,26', NULL, 16891344.28, 'TO');</v>
      </c>
      <c r="Q283" t="str">
        <f t="shared" si="20"/>
        <v>insert into business_analytic.report.orenda values(2026, 5, '2021146400', 'Київ,Фора-495 Оболонський,26', NULL, 18139728.69, 'TO');</v>
      </c>
    </row>
    <row r="284" spans="1:17" x14ac:dyDescent="0.3">
      <c r="A284" t="s">
        <v>52</v>
      </c>
      <c r="B284" t="s">
        <v>538</v>
      </c>
      <c r="C284" t="s">
        <v>829</v>
      </c>
      <c r="D284" s="2">
        <v>11179908.680000002</v>
      </c>
      <c r="E284" s="2">
        <v>10437009.719999999</v>
      </c>
      <c r="F284" s="2">
        <v>11331914.49</v>
      </c>
      <c r="G284" s="2">
        <v>11261727.26</v>
      </c>
      <c r="H284" s="2">
        <v>12185528.15</v>
      </c>
      <c r="I284" s="2">
        <v>11118533.65</v>
      </c>
      <c r="J284" s="2">
        <v>4115892.86</v>
      </c>
      <c r="K284" s="2">
        <v>71630514.810000002</v>
      </c>
      <c r="L284" s="2"/>
      <c r="M284" t="str">
        <f t="shared" si="17"/>
        <v>insert into business_analytic.report.orenda values(2026, 1, '2021146500', 'Київ,Фора-496 Біличанська,1', NULL, 11179908.68, 'TO');</v>
      </c>
      <c r="N284" t="str">
        <f t="shared" si="18"/>
        <v>insert into business_analytic.report.orenda values(2026, 2, '2021146500', 'Київ,Фора-496 Біличанська,1', NULL, 10437009.72, 'TO');</v>
      </c>
      <c r="O284" t="str">
        <f t="shared" si="18"/>
        <v>insert into business_analytic.report.orenda values(2026, 3, '2021146500', 'Київ,Фора-496 Біличанська,1', NULL, 11331914.49, 'TO');</v>
      </c>
      <c r="P284" t="str">
        <f t="shared" si="19"/>
        <v>insert into business_analytic.report.orenda values(2026, 4, '2021146500', 'Київ,Фора-496 Біличанська,1', NULL, 11261727.26, 'TO');</v>
      </c>
      <c r="Q284" t="str">
        <f t="shared" si="20"/>
        <v>insert into business_analytic.report.orenda values(2026, 5, '2021146500', 'Київ,Фора-496 Біличанська,1', NULL, 12185528.15, 'TO');</v>
      </c>
    </row>
    <row r="285" spans="1:17" x14ac:dyDescent="0.3">
      <c r="A285" t="s">
        <v>202</v>
      </c>
      <c r="B285" t="s">
        <v>539</v>
      </c>
      <c r="C285" t="s">
        <v>426</v>
      </c>
      <c r="D285" s="2">
        <v>9412065.1899999995</v>
      </c>
      <c r="E285" s="2">
        <v>8197459.29</v>
      </c>
      <c r="F285" s="2">
        <v>9236180.5</v>
      </c>
      <c r="G285" s="2">
        <v>9288590.8499999996</v>
      </c>
      <c r="H285" s="2">
        <v>9993933.6399999987</v>
      </c>
      <c r="I285" s="2">
        <v>9373151.7299999986</v>
      </c>
      <c r="J285" s="2">
        <v>3357687.54</v>
      </c>
      <c r="K285" s="2">
        <v>58859068.739999995</v>
      </c>
      <c r="L285" s="2"/>
      <c r="M285" t="str">
        <f t="shared" si="17"/>
        <v>insert into business_analytic.report.orenda values(2026, 1, '2021146600', 'Київ,Фора-499 Йорданська,10', NULL, 9412065.19, 'TO');</v>
      </c>
      <c r="N285" t="str">
        <f t="shared" si="18"/>
        <v>insert into business_analytic.report.orenda values(2026, 2, '2021146600', 'Київ,Фора-499 Йорданська,10', NULL, 8197459.29, 'TO');</v>
      </c>
      <c r="O285" t="str">
        <f t="shared" si="18"/>
        <v>insert into business_analytic.report.orenda values(2026, 3, '2021146600', 'Київ,Фора-499 Йорданська,10', NULL, 9236180.5, 'TO');</v>
      </c>
      <c r="P285" t="str">
        <f t="shared" si="19"/>
        <v>insert into business_analytic.report.orenda values(2026, 4, '2021146600', 'Київ,Фора-499 Йорданська,10', NULL, 9288590.85, 'TO');</v>
      </c>
      <c r="Q285" t="str">
        <f t="shared" si="20"/>
        <v>insert into business_analytic.report.orenda values(2026, 5, '2021146600', 'Київ,Фора-499 Йорданська,10', NULL, 9993933.64, 'TO');</v>
      </c>
    </row>
    <row r="286" spans="1:17" x14ac:dyDescent="0.3">
      <c r="A286" t="s">
        <v>53</v>
      </c>
      <c r="B286" t="s">
        <v>540</v>
      </c>
      <c r="C286" t="s">
        <v>830</v>
      </c>
      <c r="D286" s="2">
        <v>8647082.5799999982</v>
      </c>
      <c r="E286" s="2">
        <v>7447523.1600000001</v>
      </c>
      <c r="F286" s="2">
        <v>8986765.1499999985</v>
      </c>
      <c r="G286" s="2">
        <v>9829868.5499999989</v>
      </c>
      <c r="H286" s="2">
        <v>11612962.02</v>
      </c>
      <c r="I286" s="2">
        <v>12080601.479999999</v>
      </c>
      <c r="J286" s="2">
        <v>4744348.71</v>
      </c>
      <c r="K286" s="2">
        <v>63349151.649999991</v>
      </c>
      <c r="L286" s="2"/>
      <c r="M286" t="str">
        <f t="shared" si="17"/>
        <v>insert into business_analytic.report.orenda values(2026, 1, '2021146700', 'Іванковичі,Фора-561 Соборна,10Ц', NULL, 8647082.58, 'TO');</v>
      </c>
      <c r="N286" t="str">
        <f t="shared" si="18"/>
        <v>insert into business_analytic.report.orenda values(2026, 2, '2021146700', 'Іванковичі,Фора-561 Соборна,10Ц', NULL, 7447523.16, 'TO');</v>
      </c>
      <c r="O286" t="str">
        <f t="shared" si="18"/>
        <v>insert into business_analytic.report.orenda values(2026, 3, '2021146700', 'Іванковичі,Фора-561 Соборна,10Ц', NULL, 8986765.15, 'TO');</v>
      </c>
      <c r="P286" t="str">
        <f t="shared" si="19"/>
        <v>insert into business_analytic.report.orenda values(2026, 4, '2021146700', 'Іванковичі,Фора-561 Соборна,10Ц', NULL, 9829868.55, 'TO');</v>
      </c>
      <c r="Q286" t="str">
        <f t="shared" si="20"/>
        <v>insert into business_analytic.report.orenda values(2026, 5, '2021146700', 'Іванковичі,Фора-561 Соборна,10Ц', NULL, 11612962.02, 'TO');</v>
      </c>
    </row>
    <row r="287" spans="1:17" x14ac:dyDescent="0.3">
      <c r="A287" t="s">
        <v>203</v>
      </c>
      <c r="B287" t="s">
        <v>541</v>
      </c>
      <c r="C287" t="s">
        <v>831</v>
      </c>
      <c r="D287" s="2">
        <v>10619967.410000002</v>
      </c>
      <c r="E287" s="2">
        <v>9973326.5899999999</v>
      </c>
      <c r="F287" s="2">
        <v>10935092.969999999</v>
      </c>
      <c r="G287" s="2">
        <v>11282764.189999999</v>
      </c>
      <c r="H287" s="2">
        <v>11964264.16</v>
      </c>
      <c r="I287" s="2">
        <v>11894252.5</v>
      </c>
      <c r="J287" s="2">
        <v>4716398.1999999993</v>
      </c>
      <c r="K287" s="2">
        <v>71386066.019999996</v>
      </c>
      <c r="L287" s="2"/>
      <c r="M287" t="str">
        <f t="shared" si="17"/>
        <v>insert into business_analytic.report.orenda values(2026, 1, '2021147000', 'Згурівка,Фора-501 Центральна,4', NULL, 10619967.41, 'TO');</v>
      </c>
      <c r="N287" t="str">
        <f t="shared" si="18"/>
        <v>insert into business_analytic.report.orenda values(2026, 2, '2021147000', 'Згурівка,Фора-501 Центральна,4', NULL, 9973326.59, 'TO');</v>
      </c>
      <c r="O287" t="str">
        <f t="shared" si="18"/>
        <v>insert into business_analytic.report.orenda values(2026, 3, '2021147000', 'Згурівка,Фора-501 Центральна,4', NULL, 10935092.97, 'TO');</v>
      </c>
      <c r="P287" t="str">
        <f t="shared" si="19"/>
        <v>insert into business_analytic.report.orenda values(2026, 4, '2021147000', 'Згурівка,Фора-501 Центральна,4', NULL, 11282764.19, 'TO');</v>
      </c>
      <c r="Q287" t="str">
        <f t="shared" si="20"/>
        <v>insert into business_analytic.report.orenda values(2026, 5, '2021147000', 'Згурівка,Фора-501 Центральна,4', NULL, 11964264.16, 'TO');</v>
      </c>
    </row>
    <row r="288" spans="1:17" x14ac:dyDescent="0.3">
      <c r="A288" t="s">
        <v>204</v>
      </c>
      <c r="B288" t="s">
        <v>542</v>
      </c>
      <c r="C288" t="s">
        <v>832</v>
      </c>
      <c r="D288" s="2">
        <v>13822097.479999999</v>
      </c>
      <c r="E288" s="2">
        <v>13146665.74</v>
      </c>
      <c r="F288" s="2">
        <v>15050382.9</v>
      </c>
      <c r="G288" s="2">
        <v>14829887.43</v>
      </c>
      <c r="H288" s="2">
        <v>16135245.069999998</v>
      </c>
      <c r="I288" s="2">
        <v>15291118.09</v>
      </c>
      <c r="J288" s="2">
        <v>5702489.0999999996</v>
      </c>
      <c r="K288" s="2">
        <v>93977885.810000002</v>
      </c>
      <c r="L288" s="2"/>
      <c r="M288" t="str">
        <f t="shared" si="17"/>
        <v>insert into business_analytic.report.orenda values(2026, 1, '2021147100', 'Буча,Фора-514 Гмирі,7Б', NULL, 13822097.48, 'TO');</v>
      </c>
      <c r="N288" t="str">
        <f t="shared" si="18"/>
        <v>insert into business_analytic.report.orenda values(2026, 2, '2021147100', 'Буча,Фора-514 Гмирі,7Б', NULL, 13146665.74, 'TO');</v>
      </c>
      <c r="O288" t="str">
        <f t="shared" si="18"/>
        <v>insert into business_analytic.report.orenda values(2026, 3, '2021147100', 'Буча,Фора-514 Гмирі,7Б', NULL, 15050382.9, 'TO');</v>
      </c>
      <c r="P288" t="str">
        <f t="shared" si="19"/>
        <v>insert into business_analytic.report.orenda values(2026, 4, '2021147100', 'Буча,Фора-514 Гмирі,7Б', NULL, 14829887.43, 'TO');</v>
      </c>
      <c r="Q288" t="str">
        <f t="shared" si="20"/>
        <v>insert into business_analytic.report.orenda values(2026, 5, '2021147100', 'Буча,Фора-514 Гмирі,7Б', NULL, 16135245.07, 'TO');</v>
      </c>
    </row>
    <row r="289" spans="1:17" x14ac:dyDescent="0.3">
      <c r="A289" t="s">
        <v>54</v>
      </c>
      <c r="B289" t="s">
        <v>543</v>
      </c>
      <c r="C289" t="s">
        <v>429</v>
      </c>
      <c r="D289" s="2">
        <v>18768107.23</v>
      </c>
      <c r="E289" s="2">
        <v>17653251.709999993</v>
      </c>
      <c r="F289" s="2">
        <v>19372299.699999999</v>
      </c>
      <c r="G289" s="2">
        <v>19709599.890000001</v>
      </c>
      <c r="H289" s="2">
        <v>21270687.379999999</v>
      </c>
      <c r="I289" s="2">
        <v>20359085.530000001</v>
      </c>
      <c r="J289" s="2">
        <v>7762462.8599999994</v>
      </c>
      <c r="K289" s="2">
        <v>124895494.3</v>
      </c>
      <c r="L289" s="2"/>
      <c r="M289" t="str">
        <f t="shared" si="17"/>
        <v>insert into business_analytic.report.orenda values(2026, 1, '2021147200', 'Нове,Фора-519 Крушельницької,1', NULL, 18768107.23, 'TO');</v>
      </c>
      <c r="N289" t="str">
        <f t="shared" si="18"/>
        <v>insert into business_analytic.report.orenda values(2026, 2, '2021147200', 'Нове,Фора-519 Крушельницької,1', NULL, 17653251.71, 'TO');</v>
      </c>
      <c r="O289" t="str">
        <f t="shared" si="18"/>
        <v>insert into business_analytic.report.orenda values(2026, 3, '2021147200', 'Нове,Фора-519 Крушельницької,1', NULL, 19372299.7, 'TO');</v>
      </c>
      <c r="P289" t="str">
        <f t="shared" si="19"/>
        <v>insert into business_analytic.report.orenda values(2026, 4, '2021147200', 'Нове,Фора-519 Крушельницької,1', NULL, 19709599.89, 'TO');</v>
      </c>
      <c r="Q289" t="str">
        <f t="shared" si="20"/>
        <v>insert into business_analytic.report.orenda values(2026, 5, '2021147200', 'Нове,Фора-519 Крушельницької,1', NULL, 21270687.38, 'TO');</v>
      </c>
    </row>
    <row r="290" spans="1:17" x14ac:dyDescent="0.3">
      <c r="A290" t="s">
        <v>55</v>
      </c>
      <c r="B290" t="s">
        <v>544</v>
      </c>
      <c r="C290" t="s">
        <v>833</v>
      </c>
      <c r="D290" s="2">
        <v>11424214.5</v>
      </c>
      <c r="E290" s="2">
        <v>10440211.629999999</v>
      </c>
      <c r="F290" s="2">
        <v>11780620.360000001</v>
      </c>
      <c r="G290" s="2">
        <v>12107752.899999999</v>
      </c>
      <c r="H290" s="2">
        <v>14234927.159999998</v>
      </c>
      <c r="I290" s="2">
        <v>13929238.82</v>
      </c>
      <c r="J290" s="2">
        <v>5785725.6200000001</v>
      </c>
      <c r="K290" s="2">
        <v>79702690.989999995</v>
      </c>
      <c r="L290" s="2"/>
      <c r="M290" t="str">
        <f t="shared" si="17"/>
        <v>insert into business_analytic.report.orenda values(2026, 1, '2021147300', 'Бишів,Фора-516 Київська,54', NULL, 11424214.5, 'TO');</v>
      </c>
      <c r="N290" t="str">
        <f t="shared" si="18"/>
        <v>insert into business_analytic.report.orenda values(2026, 2, '2021147300', 'Бишів,Фора-516 Київська,54', NULL, 10440211.63, 'TO');</v>
      </c>
      <c r="O290" t="str">
        <f t="shared" si="18"/>
        <v>insert into business_analytic.report.orenda values(2026, 3, '2021147300', 'Бишів,Фора-516 Київська,54', NULL, 11780620.36, 'TO');</v>
      </c>
      <c r="P290" t="str">
        <f t="shared" si="19"/>
        <v>insert into business_analytic.report.orenda values(2026, 4, '2021147300', 'Бишів,Фора-516 Київська,54', NULL, 12107752.9, 'TO');</v>
      </c>
      <c r="Q290" t="str">
        <f t="shared" si="20"/>
        <v>insert into business_analytic.report.orenda values(2026, 5, '2021147300', 'Бишів,Фора-516 Київська,54', NULL, 14234927.16, 'TO');</v>
      </c>
    </row>
    <row r="291" spans="1:17" x14ac:dyDescent="0.3">
      <c r="A291" t="s">
        <v>56</v>
      </c>
      <c r="B291" t="s">
        <v>545</v>
      </c>
      <c r="C291" t="s">
        <v>834</v>
      </c>
      <c r="D291" s="2">
        <v>13920448.109999999</v>
      </c>
      <c r="E291" s="2">
        <v>13712095.359999999</v>
      </c>
      <c r="F291" s="2">
        <v>15557519.110000001</v>
      </c>
      <c r="G291" s="2">
        <v>15075024.549999999</v>
      </c>
      <c r="H291" s="2">
        <v>15401514.219999999</v>
      </c>
      <c r="I291" s="2">
        <v>13866460.569999998</v>
      </c>
      <c r="J291" s="2">
        <v>5169716.97</v>
      </c>
      <c r="K291" s="2">
        <v>92702778.889999986</v>
      </c>
      <c r="L291" s="2"/>
      <c r="M291" t="str">
        <f t="shared" si="17"/>
        <v>insert into business_analytic.report.orenda values(2026, 1, '2021147400', 'СофБорщагівка,Фора-506 Житня,12', NULL, 13920448.11, 'TO');</v>
      </c>
      <c r="N291" t="str">
        <f t="shared" si="18"/>
        <v>insert into business_analytic.report.orenda values(2026, 2, '2021147400', 'СофБорщагівка,Фора-506 Житня,12', NULL, 13712095.36, 'TO');</v>
      </c>
      <c r="O291" t="str">
        <f t="shared" si="18"/>
        <v>insert into business_analytic.report.orenda values(2026, 3, '2021147400', 'СофБорщагівка,Фора-506 Житня,12', NULL, 15557519.11, 'TO');</v>
      </c>
      <c r="P291" t="str">
        <f t="shared" si="19"/>
        <v>insert into business_analytic.report.orenda values(2026, 4, '2021147400', 'СофБорщагівка,Фора-506 Житня,12', NULL, 15075024.55, 'TO');</v>
      </c>
      <c r="Q291" t="str">
        <f t="shared" si="20"/>
        <v>insert into business_analytic.report.orenda values(2026, 5, '2021147400', 'СофБорщагівка,Фора-506 Житня,12', NULL, 15401514.22, 'TO');</v>
      </c>
    </row>
    <row r="292" spans="1:17" x14ac:dyDescent="0.3">
      <c r="A292" t="s">
        <v>57</v>
      </c>
      <c r="B292" t="s">
        <v>546</v>
      </c>
      <c r="C292" t="s">
        <v>835</v>
      </c>
      <c r="D292" s="2">
        <v>5305126.49</v>
      </c>
      <c r="E292" s="2">
        <v>4444223.6899999995</v>
      </c>
      <c r="F292" s="2">
        <v>5641783.9900000002</v>
      </c>
      <c r="G292" s="2">
        <v>5322888.33</v>
      </c>
      <c r="H292" s="2">
        <v>5809641.3099999996</v>
      </c>
      <c r="I292" s="2">
        <v>5485980.459999999</v>
      </c>
      <c r="J292" s="2">
        <v>1990601.25</v>
      </c>
      <c r="K292" s="2">
        <v>34000245.519999996</v>
      </c>
      <c r="L292" s="2"/>
      <c r="M292" t="str">
        <f t="shared" si="17"/>
        <v>insert into business_analytic.report.orenda values(2026, 1, '2021147500', 'Київ,Фора-507 Князя Мономаха,31', NULL, 5305126.49, 'TO');</v>
      </c>
      <c r="N292" t="str">
        <f t="shared" si="18"/>
        <v>insert into business_analytic.report.orenda values(2026, 2, '2021147500', 'Київ,Фора-507 Князя Мономаха,31', NULL, 4444223.69, 'TO');</v>
      </c>
      <c r="O292" t="str">
        <f t="shared" si="18"/>
        <v>insert into business_analytic.report.orenda values(2026, 3, '2021147500', 'Київ,Фора-507 Князя Мономаха,31', NULL, 5641783.99, 'TO');</v>
      </c>
      <c r="P292" t="str">
        <f t="shared" si="19"/>
        <v>insert into business_analytic.report.orenda values(2026, 4, '2021147500', 'Київ,Фора-507 Князя Мономаха,31', NULL, 5322888.33, 'TO');</v>
      </c>
      <c r="Q292" t="str">
        <f t="shared" si="20"/>
        <v>insert into business_analytic.report.orenda values(2026, 5, '2021147500', 'Київ,Фора-507 Князя Мономаха,31', NULL, 5809641.31, 'TO');</v>
      </c>
    </row>
    <row r="293" spans="1:17" x14ac:dyDescent="0.3">
      <c r="A293" t="s">
        <v>400</v>
      </c>
      <c r="B293" t="s">
        <v>1166</v>
      </c>
      <c r="C293" t="s">
        <v>1167</v>
      </c>
      <c r="D293" s="2">
        <v>3538365.92</v>
      </c>
      <c r="E293" s="2">
        <v>3452968.9</v>
      </c>
      <c r="F293" s="2">
        <v>4335153.7399999993</v>
      </c>
      <c r="G293" s="2">
        <v>4672515.83</v>
      </c>
      <c r="H293" s="2">
        <v>5027026.8899999997</v>
      </c>
      <c r="I293" s="2">
        <v>4952539.7699999996</v>
      </c>
      <c r="J293" s="2">
        <v>1730379.25</v>
      </c>
      <c r="K293" s="2">
        <v>27708950.299999997</v>
      </c>
      <c r="L293" s="2"/>
      <c r="M293" t="str">
        <f t="shared" si="17"/>
        <v>insert into business_analytic.report.orenda values(2026, 1, '2021147700', 'Київ,Фора-517 Брайчевського,13', NULL, 3538365.92, 'TO');</v>
      </c>
      <c r="N293" t="str">
        <f t="shared" si="18"/>
        <v>insert into business_analytic.report.orenda values(2026, 2, '2021147700', 'Київ,Фора-517 Брайчевського,13', NULL, 3452968.9, 'TO');</v>
      </c>
      <c r="O293" t="str">
        <f t="shared" si="18"/>
        <v>insert into business_analytic.report.orenda values(2026, 3, '2021147700', 'Київ,Фора-517 Брайчевського,13', NULL, 4335153.74, 'TO');</v>
      </c>
      <c r="P293" t="str">
        <f t="shared" si="19"/>
        <v>insert into business_analytic.report.orenda values(2026, 4, '2021147700', 'Київ,Фора-517 Брайчевського,13', NULL, 4672515.83, 'TO');</v>
      </c>
      <c r="Q293" t="str">
        <f t="shared" si="20"/>
        <v>insert into business_analytic.report.orenda values(2026, 5, '2021147700', 'Київ,Фора-517 Брайчевського,13', NULL, 5027026.89, 'TO');</v>
      </c>
    </row>
    <row r="294" spans="1:17" x14ac:dyDescent="0.3">
      <c r="A294" t="s">
        <v>205</v>
      </c>
      <c r="B294" t="s">
        <v>547</v>
      </c>
      <c r="C294" t="s">
        <v>836</v>
      </c>
      <c r="D294" s="2">
        <v>6809752.209999999</v>
      </c>
      <c r="E294" s="2">
        <v>6325687.5899999989</v>
      </c>
      <c r="F294" s="2">
        <v>6951482.7599999998</v>
      </c>
      <c r="G294" s="2">
        <v>6966892.8799999999</v>
      </c>
      <c r="H294" s="2">
        <v>7616828.3699999992</v>
      </c>
      <c r="I294" s="2">
        <v>7652406.2399999993</v>
      </c>
      <c r="J294" s="2">
        <v>2738980.63</v>
      </c>
      <c r="K294" s="2">
        <v>45062030.679999992</v>
      </c>
      <c r="L294" s="2"/>
      <c r="M294" t="str">
        <f t="shared" si="17"/>
        <v>insert into business_analytic.report.orenda values(2026, 1, '2021147800', 'Київ,Фора-521 Зодчих,62', NULL, 6809752.21, 'TO');</v>
      </c>
      <c r="N294" t="str">
        <f t="shared" si="18"/>
        <v>insert into business_analytic.report.orenda values(2026, 2, '2021147800', 'Київ,Фора-521 Зодчих,62', NULL, 6325687.59, 'TO');</v>
      </c>
      <c r="O294" t="str">
        <f t="shared" si="18"/>
        <v>insert into business_analytic.report.orenda values(2026, 3, '2021147800', 'Київ,Фора-521 Зодчих,62', NULL, 6951482.76, 'TO');</v>
      </c>
      <c r="P294" t="str">
        <f t="shared" si="19"/>
        <v>insert into business_analytic.report.orenda values(2026, 4, '2021147800', 'Київ,Фора-521 Зодчих,62', NULL, 6966892.88, 'TO');</v>
      </c>
      <c r="Q294" t="str">
        <f t="shared" si="20"/>
        <v>insert into business_analytic.report.orenda values(2026, 5, '2021147800', 'Київ,Фора-521 Зодчих,62', NULL, 7616828.37, 'TO');</v>
      </c>
    </row>
    <row r="295" spans="1:17" x14ac:dyDescent="0.3">
      <c r="A295" t="s">
        <v>206</v>
      </c>
      <c r="B295" t="s">
        <v>548</v>
      </c>
      <c r="C295" t="s">
        <v>428</v>
      </c>
      <c r="D295" s="2">
        <v>4959428.5200000005</v>
      </c>
      <c r="E295" s="2">
        <v>4311283.38</v>
      </c>
      <c r="F295" s="2">
        <v>4654918.4099999992</v>
      </c>
      <c r="G295" s="2">
        <v>4630329.55</v>
      </c>
      <c r="H295" s="2">
        <v>4922442.0699999994</v>
      </c>
      <c r="I295" s="2">
        <v>4688027.2399999993</v>
      </c>
      <c r="J295" s="2">
        <v>1722077.8</v>
      </c>
      <c r="K295" s="2">
        <v>29888506.970000003</v>
      </c>
      <c r="L295" s="2"/>
      <c r="M295" t="str">
        <f t="shared" si="17"/>
        <v>insert into business_analytic.report.orenda values(2026, 1, '2021147900', 'Київ,Фора-522 Миру,4', NULL, 4959428.52, 'TO');</v>
      </c>
      <c r="N295" t="str">
        <f t="shared" si="18"/>
        <v>insert into business_analytic.report.orenda values(2026, 2, '2021147900', 'Київ,Фора-522 Миру,4', NULL, 4311283.38, 'TO');</v>
      </c>
      <c r="O295" t="str">
        <f t="shared" si="18"/>
        <v>insert into business_analytic.report.orenda values(2026, 3, '2021147900', 'Київ,Фора-522 Миру,4', NULL, 4654918.41, 'TO');</v>
      </c>
      <c r="P295" t="str">
        <f t="shared" si="19"/>
        <v>insert into business_analytic.report.orenda values(2026, 4, '2021147900', 'Київ,Фора-522 Миру,4', NULL, 4630329.55, 'TO');</v>
      </c>
      <c r="Q295" t="str">
        <f t="shared" si="20"/>
        <v>insert into business_analytic.report.orenda values(2026, 5, '2021147900', 'Київ,Фора-522 Миру,4', NULL, 4922442.07, 'TO');</v>
      </c>
    </row>
    <row r="296" spans="1:17" x14ac:dyDescent="0.3">
      <c r="A296" t="s">
        <v>401</v>
      </c>
      <c r="B296" t="s">
        <v>1168</v>
      </c>
      <c r="C296" t="s">
        <v>1169</v>
      </c>
      <c r="D296" s="2">
        <v>4489325.0600000005</v>
      </c>
      <c r="E296" s="2">
        <v>3685199.3499999996</v>
      </c>
      <c r="F296" s="2">
        <v>4781504.49</v>
      </c>
      <c r="G296" s="2">
        <v>4743485.7500000009</v>
      </c>
      <c r="H296" s="2">
        <v>5236874.74</v>
      </c>
      <c r="I296" s="2">
        <v>5069306.8099999996</v>
      </c>
      <c r="J296" s="2">
        <v>1841335.2899999998</v>
      </c>
      <c r="K296" s="2">
        <v>29847031.489999998</v>
      </c>
      <c r="L296" s="2"/>
      <c r="M296" t="str">
        <f t="shared" si="17"/>
        <v>insert into business_analytic.report.orenda values(2026, 1, '2021148000', 'Київ,Фора-523 Кибальчича,23', NULL, 4489325.06, 'TO');</v>
      </c>
      <c r="N296" t="str">
        <f t="shared" si="18"/>
        <v>insert into business_analytic.report.orenda values(2026, 2, '2021148000', 'Київ,Фора-523 Кибальчича,23', NULL, 3685199.35, 'TO');</v>
      </c>
      <c r="O296" t="str">
        <f t="shared" si="18"/>
        <v>insert into business_analytic.report.orenda values(2026, 3, '2021148000', 'Київ,Фора-523 Кибальчича,23', NULL, 4781504.49, 'TO');</v>
      </c>
      <c r="P296" t="str">
        <f t="shared" si="19"/>
        <v>insert into business_analytic.report.orenda values(2026, 4, '2021148000', 'Київ,Фора-523 Кибальчича,23', NULL, 4743485.75, 'TO');</v>
      </c>
      <c r="Q296" t="str">
        <f t="shared" si="20"/>
        <v>insert into business_analytic.report.orenda values(2026, 5, '2021148000', 'Київ,Фора-523 Кибальчича,23', NULL, 5236874.74, 'TO');</v>
      </c>
    </row>
    <row r="297" spans="1:17" x14ac:dyDescent="0.3">
      <c r="A297" s="3" t="s">
        <v>58</v>
      </c>
      <c r="B297" s="3" t="s">
        <v>549</v>
      </c>
      <c r="C297" t="s">
        <v>1212</v>
      </c>
      <c r="D297" s="2"/>
      <c r="E297" s="2"/>
      <c r="F297" s="2">
        <v>8395338.5500000007</v>
      </c>
      <c r="G297" s="2">
        <v>14739297.709999999</v>
      </c>
      <c r="H297" s="2">
        <v>16424790.449999999</v>
      </c>
      <c r="I297" s="2">
        <v>16707034.999999998</v>
      </c>
      <c r="J297" s="2">
        <v>6441500.9100000001</v>
      </c>
      <c r="K297" s="2">
        <v>62707962.619999997</v>
      </c>
      <c r="L297" s="2"/>
      <c r="M297" t="str">
        <f t="shared" si="17"/>
        <v>insert into business_analytic.report.orenda values(2026, 1, '2021148100', 'Ржищів,Фора-525 Київський Шлях,1', NULL, 0, 'TO');</v>
      </c>
      <c r="N297" t="str">
        <f t="shared" si="18"/>
        <v>insert into business_analytic.report.orenda values(2026, 2, '2021148100', 'Ржищів,Фора-525 Київський Шлях,1', NULL, 0, 'TO');</v>
      </c>
      <c r="O297" t="str">
        <f t="shared" si="18"/>
        <v>insert into business_analytic.report.orenda values(2026, 3, '2021148100', 'Ржищів,Фора-525 Київський Шлях,1', NULL, 8395338.55, 'TO');</v>
      </c>
      <c r="P297" t="str">
        <f t="shared" si="19"/>
        <v>insert into business_analytic.report.orenda values(2026, 4, '2021148100', 'Ржищів,Фора-525 Київський Шлях,1', NULL, 14739297.71, 'TO');</v>
      </c>
      <c r="Q297" t="str">
        <f t="shared" si="20"/>
        <v>insert into business_analytic.report.orenda values(2026, 5, '2021148100', 'Ржищів,Фора-525 Київський Шлях,1', NULL, 16424790.45, 'TO');</v>
      </c>
    </row>
    <row r="298" spans="1:17" x14ac:dyDescent="0.3">
      <c r="A298" t="s">
        <v>59</v>
      </c>
      <c r="B298" t="s">
        <v>550</v>
      </c>
      <c r="C298" t="s">
        <v>837</v>
      </c>
      <c r="D298" s="2">
        <v>8805994.8200000003</v>
      </c>
      <c r="E298" s="2">
        <v>8896800.4399999995</v>
      </c>
      <c r="F298" s="2">
        <v>10680426.550000001</v>
      </c>
      <c r="G298" s="2">
        <v>10838492.859999999</v>
      </c>
      <c r="H298" s="2">
        <v>11824924.26</v>
      </c>
      <c r="I298" s="2">
        <v>10874951.280000001</v>
      </c>
      <c r="J298" s="2">
        <v>3993164.3099999996</v>
      </c>
      <c r="K298" s="2">
        <v>65914754.519999996</v>
      </c>
      <c r="L298" s="2"/>
      <c r="M298" t="str">
        <f t="shared" si="17"/>
        <v>insert into business_analytic.report.orenda values(2026, 1, '2021148200', 'Київ,Фора-527 Маланюка Євгена,101', NULL, 8805994.82, 'TO');</v>
      </c>
      <c r="N298" t="str">
        <f t="shared" si="18"/>
        <v>insert into business_analytic.report.orenda values(2026, 2, '2021148200', 'Київ,Фора-527 Маланюка Євгена,101', NULL, 8896800.44, 'TO');</v>
      </c>
      <c r="O298" t="str">
        <f t="shared" si="18"/>
        <v>insert into business_analytic.report.orenda values(2026, 3, '2021148200', 'Київ,Фора-527 Маланюка Євгена,101', NULL, 10680426.55, 'TO');</v>
      </c>
      <c r="P298" t="str">
        <f t="shared" si="19"/>
        <v>insert into business_analytic.report.orenda values(2026, 4, '2021148200', 'Київ,Фора-527 Маланюка Євгена,101', NULL, 10838492.86, 'TO');</v>
      </c>
      <c r="Q298" t="str">
        <f t="shared" si="20"/>
        <v>insert into business_analytic.report.orenda values(2026, 5, '2021148200', 'Київ,Фора-527 Маланюка Євгена,101', NULL, 11824924.26, 'TO');</v>
      </c>
    </row>
    <row r="299" spans="1:17" x14ac:dyDescent="0.3">
      <c r="A299" t="s">
        <v>402</v>
      </c>
      <c r="B299" t="s">
        <v>1170</v>
      </c>
      <c r="C299" t="s">
        <v>1171</v>
      </c>
      <c r="D299" s="2">
        <v>4849086.53</v>
      </c>
      <c r="E299" s="2">
        <v>4652629.13</v>
      </c>
      <c r="F299" s="2">
        <v>5266961.53</v>
      </c>
      <c r="G299" s="2">
        <v>5064093.5600000005</v>
      </c>
      <c r="H299" s="2">
        <v>5378881.459999999</v>
      </c>
      <c r="I299" s="2">
        <v>5050409.25</v>
      </c>
      <c r="J299" s="2">
        <v>1935853.56</v>
      </c>
      <c r="K299" s="2">
        <v>32197915.019999996</v>
      </c>
      <c r="L299" s="2"/>
      <c r="M299" t="str">
        <f t="shared" si="17"/>
        <v>insert into business_analytic.report.orenda values(2026, 1, '2021148500', 'Київ,Фора-531 Воскресенський,32', NULL, 4849086.53, 'TO');</v>
      </c>
      <c r="N299" t="str">
        <f t="shared" si="18"/>
        <v>insert into business_analytic.report.orenda values(2026, 2, '2021148500', 'Київ,Фора-531 Воскресенський,32', NULL, 4652629.13, 'TO');</v>
      </c>
      <c r="O299" t="str">
        <f t="shared" si="18"/>
        <v>insert into business_analytic.report.orenda values(2026, 3, '2021148500', 'Київ,Фора-531 Воскресенський,32', NULL, 5266961.53, 'TO');</v>
      </c>
      <c r="P299" t="str">
        <f t="shared" si="19"/>
        <v>insert into business_analytic.report.orenda values(2026, 4, '2021148500', 'Київ,Фора-531 Воскресенський,32', NULL, 5064093.56, 'TO');</v>
      </c>
      <c r="Q299" t="str">
        <f t="shared" si="20"/>
        <v>insert into business_analytic.report.orenda values(2026, 5, '2021148500', 'Київ,Фора-531 Воскресенський,32', NULL, 5378881.46, 'TO');</v>
      </c>
    </row>
    <row r="300" spans="1:17" x14ac:dyDescent="0.3">
      <c r="A300" t="s">
        <v>207</v>
      </c>
      <c r="B300" t="s">
        <v>551</v>
      </c>
      <c r="C300" t="s">
        <v>838</v>
      </c>
      <c r="D300" s="2">
        <v>7530209.3399999999</v>
      </c>
      <c r="E300" s="2">
        <v>6893244.2599999998</v>
      </c>
      <c r="F300" s="2">
        <v>7433889.5699999994</v>
      </c>
      <c r="G300" s="2">
        <v>7603428.6099999994</v>
      </c>
      <c r="H300" s="2">
        <v>8046687.6200000001</v>
      </c>
      <c r="I300" s="2">
        <v>7663501.7000000002</v>
      </c>
      <c r="J300" s="2">
        <v>2777953.53</v>
      </c>
      <c r="K300" s="2">
        <v>47948914.629999995</v>
      </c>
      <c r="L300" s="2"/>
      <c r="M300" t="str">
        <f t="shared" si="17"/>
        <v>insert into business_analytic.report.orenda values(2026, 1, '2021148600', 'Київ,Фора-532 Олени Теліги,31/1', NULL, 7530209.34, 'TO');</v>
      </c>
      <c r="N300" t="str">
        <f t="shared" si="18"/>
        <v>insert into business_analytic.report.orenda values(2026, 2, '2021148600', 'Київ,Фора-532 Олени Теліги,31/1', NULL, 6893244.26, 'TO');</v>
      </c>
      <c r="O300" t="str">
        <f t="shared" si="18"/>
        <v>insert into business_analytic.report.orenda values(2026, 3, '2021148600', 'Київ,Фора-532 Олени Теліги,31/1', NULL, 7433889.57, 'TO');</v>
      </c>
      <c r="P300" t="str">
        <f t="shared" si="19"/>
        <v>insert into business_analytic.report.orenda values(2026, 4, '2021148600', 'Київ,Фора-532 Олени Теліги,31/1', NULL, 7603428.61, 'TO');</v>
      </c>
      <c r="Q300" t="str">
        <f t="shared" si="20"/>
        <v>insert into business_analytic.report.orenda values(2026, 5, '2021148600', 'Київ,Фора-532 Олени Теліги,31/1', NULL, 8046687.62, 'TO');</v>
      </c>
    </row>
    <row r="301" spans="1:17" x14ac:dyDescent="0.3">
      <c r="A301" t="s">
        <v>208</v>
      </c>
      <c r="B301" t="s">
        <v>552</v>
      </c>
      <c r="C301" t="s">
        <v>839</v>
      </c>
      <c r="D301" s="2">
        <v>4775163.3599999994</v>
      </c>
      <c r="E301" s="2">
        <v>4578191.2799999993</v>
      </c>
      <c r="F301" s="2">
        <v>5102642.1399999997</v>
      </c>
      <c r="G301" s="2">
        <v>5165335.709999999</v>
      </c>
      <c r="H301" s="2">
        <v>5341469.12</v>
      </c>
      <c r="I301" s="2">
        <v>4880774.3699999992</v>
      </c>
      <c r="J301" s="2">
        <v>1693756.5999999999</v>
      </c>
      <c r="K301" s="2">
        <v>31537332.579999998</v>
      </c>
      <c r="L301" s="2"/>
      <c r="M301" t="str">
        <f t="shared" si="17"/>
        <v>insert into business_analytic.report.orenda values(2026, 1, '2021148700', 'Київ,Фора-533 Преображенська,7', NULL, 4775163.36, 'TO');</v>
      </c>
      <c r="N301" t="str">
        <f t="shared" si="18"/>
        <v>insert into business_analytic.report.orenda values(2026, 2, '2021148700', 'Київ,Фора-533 Преображенська,7', NULL, 4578191.28, 'TO');</v>
      </c>
      <c r="O301" t="str">
        <f t="shared" si="18"/>
        <v>insert into business_analytic.report.orenda values(2026, 3, '2021148700', 'Київ,Фора-533 Преображенська,7', NULL, 5102642.14, 'TO');</v>
      </c>
      <c r="P301" t="str">
        <f t="shared" si="19"/>
        <v>insert into business_analytic.report.orenda values(2026, 4, '2021148700', 'Київ,Фора-533 Преображенська,7', NULL, 5165335.71, 'TO');</v>
      </c>
      <c r="Q301" t="str">
        <f t="shared" si="20"/>
        <v>insert into business_analytic.report.orenda values(2026, 5, '2021148700', 'Київ,Фора-533 Преображенська,7', NULL, 5341469.12, 'TO');</v>
      </c>
    </row>
    <row r="302" spans="1:17" x14ac:dyDescent="0.3">
      <c r="A302" t="s">
        <v>60</v>
      </c>
      <c r="B302" t="s">
        <v>553</v>
      </c>
      <c r="C302" t="s">
        <v>840</v>
      </c>
      <c r="D302" s="2">
        <v>11503053.58</v>
      </c>
      <c r="E302" s="2">
        <v>11010654.249999998</v>
      </c>
      <c r="F302" s="2">
        <v>12639044.929999998</v>
      </c>
      <c r="G302" s="2">
        <v>12455701.409999998</v>
      </c>
      <c r="H302" s="2">
        <v>13506243.25</v>
      </c>
      <c r="I302" s="2">
        <v>12694818.389999999</v>
      </c>
      <c r="J302" s="2">
        <v>4609891.3899999997</v>
      </c>
      <c r="K302" s="2">
        <v>78419407.199999988</v>
      </c>
      <c r="L302" s="2"/>
      <c r="M302" t="str">
        <f t="shared" si="17"/>
        <v>insert into business_analytic.report.orenda values(2026, 1, '2021148800', 'Київ,Фора-577 Єфремова,23', NULL, 11503053.58, 'TO');</v>
      </c>
      <c r="N302" t="str">
        <f t="shared" si="18"/>
        <v>insert into business_analytic.report.orenda values(2026, 2, '2021148800', 'Київ,Фора-577 Єфремова,23', NULL, 11010654.25, 'TO');</v>
      </c>
      <c r="O302" t="str">
        <f t="shared" si="18"/>
        <v>insert into business_analytic.report.orenda values(2026, 3, '2021148800', 'Київ,Фора-577 Єфремова,23', NULL, 12639044.93, 'TO');</v>
      </c>
      <c r="P302" t="str">
        <f t="shared" si="19"/>
        <v>insert into business_analytic.report.orenda values(2026, 4, '2021148800', 'Київ,Фора-577 Єфремова,23', NULL, 12455701.41, 'TO');</v>
      </c>
      <c r="Q302" t="str">
        <f t="shared" si="20"/>
        <v>insert into business_analytic.report.orenda values(2026, 5, '2021148800', 'Київ,Фора-577 Єфремова,23', NULL, 13506243.25, 'TO');</v>
      </c>
    </row>
    <row r="303" spans="1:17" x14ac:dyDescent="0.3">
      <c r="A303" t="s">
        <v>61</v>
      </c>
      <c r="B303" t="s">
        <v>554</v>
      </c>
      <c r="C303" t="s">
        <v>841</v>
      </c>
      <c r="D303" s="2">
        <v>5993546.79</v>
      </c>
      <c r="E303" s="2">
        <v>5011274.72</v>
      </c>
      <c r="F303" s="2">
        <v>7123548.96</v>
      </c>
      <c r="G303" s="2">
        <v>7023953.4800000004</v>
      </c>
      <c r="H303" s="2">
        <v>7938634.7699999986</v>
      </c>
      <c r="I303" s="2">
        <v>7705078.7199999997</v>
      </c>
      <c r="J303" s="2">
        <v>2903165.5</v>
      </c>
      <c r="K303" s="2">
        <v>43699202.939999998</v>
      </c>
      <c r="L303" s="2"/>
      <c r="M303" t="str">
        <f t="shared" si="17"/>
        <v>insert into business_analytic.report.orenda values(2026, 1, '2021148900', 'Київ,Фора-540 Столичне шосе,1 П-10', NULL, 5993546.79, 'TO');</v>
      </c>
      <c r="N303" t="str">
        <f t="shared" si="18"/>
        <v>insert into business_analytic.report.orenda values(2026, 2, '2021148900', 'Київ,Фора-540 Столичне шосе,1 П-10', NULL, 5011274.72, 'TO');</v>
      </c>
      <c r="O303" t="str">
        <f t="shared" si="18"/>
        <v>insert into business_analytic.report.orenda values(2026, 3, '2021148900', 'Київ,Фора-540 Столичне шосе,1 П-10', NULL, 7123548.96, 'TO');</v>
      </c>
      <c r="P303" t="str">
        <f t="shared" si="19"/>
        <v>insert into business_analytic.report.orenda values(2026, 4, '2021148900', 'Київ,Фора-540 Столичне шосе,1 П-10', NULL, 7023953.48, 'TO');</v>
      </c>
      <c r="Q303" t="str">
        <f t="shared" si="20"/>
        <v>insert into business_analytic.report.orenda values(2026, 5, '2021148900', 'Київ,Фора-540 Столичне шосе,1 П-10', NULL, 7938634.77, 'TO');</v>
      </c>
    </row>
    <row r="304" spans="1:17" x14ac:dyDescent="0.3">
      <c r="A304" t="s">
        <v>62</v>
      </c>
      <c r="B304" t="s">
        <v>555</v>
      </c>
      <c r="C304" t="s">
        <v>842</v>
      </c>
      <c r="D304" s="2">
        <v>8196265.1599999992</v>
      </c>
      <c r="E304" s="2">
        <v>8306097.4900000002</v>
      </c>
      <c r="F304" s="2">
        <v>9402891.0300000012</v>
      </c>
      <c r="G304" s="2">
        <v>9763190.8100000005</v>
      </c>
      <c r="H304" s="2">
        <v>10511117.619999999</v>
      </c>
      <c r="I304" s="2">
        <v>10244900.429999998</v>
      </c>
      <c r="J304" s="2">
        <v>3770430.23</v>
      </c>
      <c r="K304" s="2">
        <v>60194892.769999996</v>
      </c>
      <c r="L304" s="2"/>
      <c r="M304" t="str">
        <f t="shared" si="17"/>
        <v>insert into business_analytic.report.orenda values(2026, 1, '2021149000', 'Київ,Фора-567 Дмитрівська,96/98', NULL, 8196265.16, 'TO');</v>
      </c>
      <c r="N304" t="str">
        <f t="shared" si="18"/>
        <v>insert into business_analytic.report.orenda values(2026, 2, '2021149000', 'Київ,Фора-567 Дмитрівська,96/98', NULL, 8306097.49, 'TO');</v>
      </c>
      <c r="O304" t="str">
        <f t="shared" si="18"/>
        <v>insert into business_analytic.report.orenda values(2026, 3, '2021149000', 'Київ,Фора-567 Дмитрівська,96/98', NULL, 9402891.03, 'TO');</v>
      </c>
      <c r="P304" t="str">
        <f t="shared" si="19"/>
        <v>insert into business_analytic.report.orenda values(2026, 4, '2021149000', 'Київ,Фора-567 Дмитрівська,96/98', NULL, 9763190.81, 'TO');</v>
      </c>
      <c r="Q304" t="str">
        <f t="shared" si="20"/>
        <v>insert into business_analytic.report.orenda values(2026, 5, '2021149000', 'Київ,Фора-567 Дмитрівська,96/98', NULL, 10511117.62, 'TO');</v>
      </c>
    </row>
    <row r="305" spans="1:17" x14ac:dyDescent="0.3">
      <c r="A305" t="s">
        <v>209</v>
      </c>
      <c r="B305" t="s">
        <v>556</v>
      </c>
      <c r="C305" t="s">
        <v>843</v>
      </c>
      <c r="D305" s="2">
        <v>8059129.4400000004</v>
      </c>
      <c r="E305" s="2">
        <v>7362893.0499999998</v>
      </c>
      <c r="F305" s="2">
        <v>8265145.4699999997</v>
      </c>
      <c r="G305" s="2">
        <v>8247101.5499999998</v>
      </c>
      <c r="H305" s="2">
        <v>8725971.1300000008</v>
      </c>
      <c r="I305" s="2">
        <v>8192728.3600000003</v>
      </c>
      <c r="J305" s="2">
        <v>3009447.28</v>
      </c>
      <c r="K305" s="2">
        <v>51862416.280000001</v>
      </c>
      <c r="L305" s="2"/>
      <c r="M305" t="str">
        <f t="shared" si="17"/>
        <v>insert into business_analytic.report.orenda values(2026, 1, '2021149100', 'Київ,Фора-558 Вірського,37', NULL, 8059129.44, 'TO');</v>
      </c>
      <c r="N305" t="str">
        <f t="shared" si="18"/>
        <v>insert into business_analytic.report.orenda values(2026, 2, '2021149100', 'Київ,Фора-558 Вірського,37', NULL, 7362893.05, 'TO');</v>
      </c>
      <c r="O305" t="str">
        <f t="shared" si="18"/>
        <v>insert into business_analytic.report.orenda values(2026, 3, '2021149100', 'Київ,Фора-558 Вірського,37', NULL, 8265145.47, 'TO');</v>
      </c>
      <c r="P305" t="str">
        <f t="shared" si="19"/>
        <v>insert into business_analytic.report.orenda values(2026, 4, '2021149100', 'Київ,Фора-558 Вірського,37', NULL, 8247101.55, 'TO');</v>
      </c>
      <c r="Q305" t="str">
        <f t="shared" si="20"/>
        <v>insert into business_analytic.report.orenda values(2026, 5, '2021149100', 'Київ,Фора-558 Вірського,37', NULL, 8725971.13, 'TO');</v>
      </c>
    </row>
    <row r="306" spans="1:17" x14ac:dyDescent="0.3">
      <c r="A306" t="s">
        <v>63</v>
      </c>
      <c r="B306" t="s">
        <v>557</v>
      </c>
      <c r="C306" t="s">
        <v>844</v>
      </c>
      <c r="D306" s="2">
        <v>8962889.6699999999</v>
      </c>
      <c r="E306" s="2">
        <v>9156798.129999999</v>
      </c>
      <c r="F306" s="2">
        <v>10542697.870000001</v>
      </c>
      <c r="G306" s="2">
        <v>10490672.669999998</v>
      </c>
      <c r="H306" s="2">
        <v>11640387.140000001</v>
      </c>
      <c r="I306" s="2">
        <v>11219113.639999999</v>
      </c>
      <c r="J306" s="2">
        <v>4162209.92</v>
      </c>
      <c r="K306" s="2">
        <v>66174769.039999999</v>
      </c>
      <c r="L306" s="2"/>
      <c r="M306" t="str">
        <f t="shared" si="17"/>
        <v>insert into business_analytic.report.orenda values(2026, 1, '2021149200', 'Київ,Фора-543 Ревуцького,52', NULL, 8962889.67, 'TO');</v>
      </c>
      <c r="N306" t="str">
        <f t="shared" si="18"/>
        <v>insert into business_analytic.report.orenda values(2026, 2, '2021149200', 'Київ,Фора-543 Ревуцького,52', NULL, 9156798.13, 'TO');</v>
      </c>
      <c r="O306" t="str">
        <f t="shared" si="18"/>
        <v>insert into business_analytic.report.orenda values(2026, 3, '2021149200', 'Київ,Фора-543 Ревуцького,52', NULL, 10542697.87, 'TO');</v>
      </c>
      <c r="P306" t="str">
        <f t="shared" si="19"/>
        <v>insert into business_analytic.report.orenda values(2026, 4, '2021149200', 'Київ,Фора-543 Ревуцького,52', NULL, 10490672.67, 'TO');</v>
      </c>
      <c r="Q306" t="str">
        <f t="shared" si="20"/>
        <v>insert into business_analytic.report.orenda values(2026, 5, '2021149200', 'Київ,Фора-543 Ревуцького,52', NULL, 11640387.14, 'TO');</v>
      </c>
    </row>
    <row r="307" spans="1:17" x14ac:dyDescent="0.3">
      <c r="A307" t="s">
        <v>64</v>
      </c>
      <c r="B307" t="s">
        <v>558</v>
      </c>
      <c r="C307" t="s">
        <v>845</v>
      </c>
      <c r="D307" s="2">
        <v>11367185.449999999</v>
      </c>
      <c r="E307" s="2">
        <v>11374690.359999998</v>
      </c>
      <c r="F307" s="2">
        <v>12788754.91</v>
      </c>
      <c r="G307" s="2">
        <v>12687926.649999999</v>
      </c>
      <c r="H307" s="2">
        <v>13866562.029999999</v>
      </c>
      <c r="I307" s="2">
        <v>13564108.409999998</v>
      </c>
      <c r="J307" s="2">
        <v>4965567.43</v>
      </c>
      <c r="K307" s="2">
        <v>80614795.24000001</v>
      </c>
      <c r="L307" s="2"/>
      <c r="M307" t="str">
        <f t="shared" si="17"/>
        <v>insert into business_analytic.report.orenda values(2026, 1, '2021149300', 'Ірпінь,Фора-544 Котляревського,56', NULL, 11367185.45, 'TO');</v>
      </c>
      <c r="N307" t="str">
        <f t="shared" si="18"/>
        <v>insert into business_analytic.report.orenda values(2026, 2, '2021149300', 'Ірпінь,Фора-544 Котляревського,56', NULL, 11374690.36, 'TO');</v>
      </c>
      <c r="O307" t="str">
        <f t="shared" si="18"/>
        <v>insert into business_analytic.report.orenda values(2026, 3, '2021149300', 'Ірпінь,Фора-544 Котляревського,56', NULL, 12788754.91, 'TO');</v>
      </c>
      <c r="P307" t="str">
        <f t="shared" si="19"/>
        <v>insert into business_analytic.report.orenda values(2026, 4, '2021149300', 'Ірпінь,Фора-544 Котляревського,56', NULL, 12687926.65, 'TO');</v>
      </c>
      <c r="Q307" t="str">
        <f t="shared" si="20"/>
        <v>insert into business_analytic.report.orenda values(2026, 5, '2021149300', 'Ірпінь,Фора-544 Котляревського,56', NULL, 13866562.03, 'TO');</v>
      </c>
    </row>
    <row r="308" spans="1:17" x14ac:dyDescent="0.3">
      <c r="A308" t="s">
        <v>65</v>
      </c>
      <c r="B308" t="s">
        <v>559</v>
      </c>
      <c r="C308" t="s">
        <v>846</v>
      </c>
      <c r="D308" s="2">
        <v>11932796.929999998</v>
      </c>
      <c r="E308" s="2">
        <v>11088867.319999998</v>
      </c>
      <c r="F308" s="2">
        <v>11853483.42</v>
      </c>
      <c r="G308" s="2">
        <v>12660634.689999999</v>
      </c>
      <c r="H308" s="2">
        <v>13520948.039999999</v>
      </c>
      <c r="I308" s="2">
        <v>14030015.689999999</v>
      </c>
      <c r="J308" s="2">
        <v>5575818.6699999999</v>
      </c>
      <c r="K308" s="2">
        <v>80662564.75999999</v>
      </c>
      <c r="L308" s="2"/>
      <c r="M308" t="str">
        <f t="shared" si="17"/>
        <v>insert into business_analytic.report.orenda values(2026, 1, '2021149400', 'Рокитне,Фора-564 Вокзальна,68Б', NULL, 11932796.93, 'TO');</v>
      </c>
      <c r="N308" t="str">
        <f t="shared" si="18"/>
        <v>insert into business_analytic.report.orenda values(2026, 2, '2021149400', 'Рокитне,Фора-564 Вокзальна,68Б', NULL, 11088867.32, 'TO');</v>
      </c>
      <c r="O308" t="str">
        <f t="shared" si="18"/>
        <v>insert into business_analytic.report.orenda values(2026, 3, '2021149400', 'Рокитне,Фора-564 Вокзальна,68Б', NULL, 11853483.42, 'TO');</v>
      </c>
      <c r="P308" t="str">
        <f t="shared" si="19"/>
        <v>insert into business_analytic.report.orenda values(2026, 4, '2021149400', 'Рокитне,Фора-564 Вокзальна,68Б', NULL, 12660634.69, 'TO');</v>
      </c>
      <c r="Q308" t="str">
        <f t="shared" si="20"/>
        <v>insert into business_analytic.report.orenda values(2026, 5, '2021149400', 'Рокитне,Фора-564 Вокзальна,68Б', NULL, 13520948.04, 'TO');</v>
      </c>
    </row>
    <row r="309" spans="1:17" x14ac:dyDescent="0.3">
      <c r="A309" t="s">
        <v>66</v>
      </c>
      <c r="B309" t="s">
        <v>560</v>
      </c>
      <c r="C309" t="s">
        <v>837</v>
      </c>
      <c r="D309" s="2">
        <v>6642296.8099999996</v>
      </c>
      <c r="E309" s="2">
        <v>6194142.2199999997</v>
      </c>
      <c r="F309" s="2">
        <v>7261360.1799999997</v>
      </c>
      <c r="G309" s="2">
        <v>7158088.54</v>
      </c>
      <c r="H309" s="2">
        <v>7686679.1900000004</v>
      </c>
      <c r="I309" s="2">
        <v>7362998.8499999996</v>
      </c>
      <c r="J309" s="2">
        <v>2686376.37</v>
      </c>
      <c r="K309" s="2">
        <v>44991942.159999996</v>
      </c>
      <c r="L309" s="2"/>
      <c r="M309" t="str">
        <f t="shared" si="17"/>
        <v>insert into business_analytic.report.orenda values(2026, 1, '2021149500', 'Житомир,Фора-536 Київська,106', NULL, 6642296.81, 'TO');</v>
      </c>
      <c r="N309" t="str">
        <f t="shared" si="18"/>
        <v>insert into business_analytic.report.orenda values(2026, 2, '2021149500', 'Житомир,Фора-536 Київська,106', NULL, 6194142.22, 'TO');</v>
      </c>
      <c r="O309" t="str">
        <f t="shared" si="18"/>
        <v>insert into business_analytic.report.orenda values(2026, 3, '2021149500', 'Житомир,Фора-536 Київська,106', NULL, 7261360.18, 'TO');</v>
      </c>
      <c r="P309" t="str">
        <f t="shared" si="19"/>
        <v>insert into business_analytic.report.orenda values(2026, 4, '2021149500', 'Житомир,Фора-536 Київська,106', NULL, 7158088.54, 'TO');</v>
      </c>
      <c r="Q309" t="str">
        <f t="shared" si="20"/>
        <v>insert into business_analytic.report.orenda values(2026, 5, '2021149500', 'Житомир,Фора-536 Київська,106', NULL, 7686679.19, 'TO');</v>
      </c>
    </row>
    <row r="310" spans="1:17" x14ac:dyDescent="0.3">
      <c r="A310" t="s">
        <v>403</v>
      </c>
      <c r="B310" t="s">
        <v>1172</v>
      </c>
      <c r="C310" t="s">
        <v>1173</v>
      </c>
      <c r="D310" s="2">
        <v>3644814.78</v>
      </c>
      <c r="E310" s="2">
        <v>3574660.59</v>
      </c>
      <c r="F310" s="2">
        <v>3893301.5999999996</v>
      </c>
      <c r="G310" s="2">
        <v>3911091.7699999996</v>
      </c>
      <c r="H310" s="2">
        <v>4344555.879999999</v>
      </c>
      <c r="I310" s="2">
        <v>3928412.86</v>
      </c>
      <c r="J310" s="2">
        <v>1392472.9599999997</v>
      </c>
      <c r="K310" s="2">
        <v>24689310.439999998</v>
      </c>
      <c r="L310" s="2"/>
      <c r="M310" t="str">
        <f t="shared" si="17"/>
        <v>insert into business_analytic.report.orenda values(2026, 1, '2021149800', 'Київ,Фора-545 Солов'яненка,7', NULL, 3644814.78, 'TO');</v>
      </c>
      <c r="N310" t="str">
        <f t="shared" si="18"/>
        <v>insert into business_analytic.report.orenda values(2026, 2, '2021149800', 'Київ,Фора-545 Солов'яненка,7', NULL, 3574660.59, 'TO');</v>
      </c>
      <c r="O310" t="str">
        <f t="shared" si="18"/>
        <v>insert into business_analytic.report.orenda values(2026, 3, '2021149800', 'Київ,Фора-545 Солов'яненка,7', NULL, 3893301.6, 'TO');</v>
      </c>
      <c r="P310" t="str">
        <f t="shared" si="19"/>
        <v>insert into business_analytic.report.orenda values(2026, 4, '2021149800', 'Київ,Фора-545 Солов'яненка,7', NULL, 3911091.77, 'TO');</v>
      </c>
      <c r="Q310" t="str">
        <f t="shared" si="20"/>
        <v>insert into business_analytic.report.orenda values(2026, 5, '2021149800', 'Київ,Фора-545 Солов'яненка,7', NULL, 4344555.88, 'TO');</v>
      </c>
    </row>
    <row r="311" spans="1:17" x14ac:dyDescent="0.3">
      <c r="A311" t="s">
        <v>404</v>
      </c>
      <c r="B311" t="s">
        <v>1174</v>
      </c>
      <c r="C311" t="s">
        <v>1175</v>
      </c>
      <c r="D311" s="2">
        <v>3338585.51</v>
      </c>
      <c r="E311" s="2">
        <v>3037033.55</v>
      </c>
      <c r="F311" s="2">
        <v>3731837.67</v>
      </c>
      <c r="G311" s="2">
        <v>3626140.45</v>
      </c>
      <c r="H311" s="2">
        <v>3904373.2199999997</v>
      </c>
      <c r="I311" s="2">
        <v>3768026.51</v>
      </c>
      <c r="J311" s="2">
        <v>1349799.8399999999</v>
      </c>
      <c r="K311" s="2">
        <v>22755796.749999996</v>
      </c>
      <c r="L311" s="2"/>
      <c r="M311" t="str">
        <f t="shared" si="17"/>
        <v>insert into business_analytic.report.orenda values(2026, 1, '2021149900', 'Київ,Фора-547 Чорних Запорожців,21', NULL, 3338585.51, 'TO');</v>
      </c>
      <c r="N311" t="str">
        <f t="shared" si="18"/>
        <v>insert into business_analytic.report.orenda values(2026, 2, '2021149900', 'Київ,Фора-547 Чорних Запорожців,21', NULL, 3037033.55, 'TO');</v>
      </c>
      <c r="O311" t="str">
        <f t="shared" si="18"/>
        <v>insert into business_analytic.report.orenda values(2026, 3, '2021149900', 'Київ,Фора-547 Чорних Запорожців,21', NULL, 3731837.67, 'TO');</v>
      </c>
      <c r="P311" t="str">
        <f t="shared" si="19"/>
        <v>insert into business_analytic.report.orenda values(2026, 4, '2021149900', 'Київ,Фора-547 Чорних Запорожців,21', NULL, 3626140.45, 'TO');</v>
      </c>
      <c r="Q311" t="str">
        <f t="shared" si="20"/>
        <v>insert into business_analytic.report.orenda values(2026, 5, '2021149900', 'Київ,Фора-547 Чорних Запорожців,21', NULL, 3904373.22, 'TO');</v>
      </c>
    </row>
    <row r="312" spans="1:17" x14ac:dyDescent="0.3">
      <c r="A312" t="s">
        <v>210</v>
      </c>
      <c r="B312" t="s">
        <v>561</v>
      </c>
      <c r="C312" t="s">
        <v>847</v>
      </c>
      <c r="D312" s="2">
        <v>7562373.629999999</v>
      </c>
      <c r="E312" s="2">
        <v>7497688.0499999998</v>
      </c>
      <c r="F312" s="2">
        <v>8778271.7299999986</v>
      </c>
      <c r="G312" s="2">
        <v>8584289.2400000002</v>
      </c>
      <c r="H312" s="2">
        <v>9284647.9699999988</v>
      </c>
      <c r="I312" s="2">
        <v>9001104.709999999</v>
      </c>
      <c r="J312" s="2">
        <v>3091929.1399999997</v>
      </c>
      <c r="K312" s="2">
        <v>53800304.469999999</v>
      </c>
      <c r="L312" s="2"/>
      <c r="M312" t="str">
        <f t="shared" si="17"/>
        <v>insert into business_analytic.report.orenda values(2026, 1, '2021150100', 'Київ,Фора-548 Райдужна,67', NULL, 7562373.63, 'TO');</v>
      </c>
      <c r="N312" t="str">
        <f t="shared" si="18"/>
        <v>insert into business_analytic.report.orenda values(2026, 2, '2021150100', 'Київ,Фора-548 Райдужна,67', NULL, 7497688.05, 'TO');</v>
      </c>
      <c r="O312" t="str">
        <f t="shared" si="18"/>
        <v>insert into business_analytic.report.orenda values(2026, 3, '2021150100', 'Київ,Фора-548 Райдужна,67', NULL, 8778271.73, 'TO');</v>
      </c>
      <c r="P312" t="str">
        <f t="shared" si="19"/>
        <v>insert into business_analytic.report.orenda values(2026, 4, '2021150100', 'Київ,Фора-548 Райдужна,67', NULL, 8584289.24, 'TO');</v>
      </c>
      <c r="Q312" t="str">
        <f t="shared" si="20"/>
        <v>insert into business_analytic.report.orenda values(2026, 5, '2021150100', 'Київ,Фора-548 Райдужна,67', NULL, 9284647.97, 'TO');</v>
      </c>
    </row>
    <row r="313" spans="1:17" x14ac:dyDescent="0.3">
      <c r="A313" t="s">
        <v>405</v>
      </c>
      <c r="B313" t="s">
        <v>1176</v>
      </c>
      <c r="C313" t="s">
        <v>1177</v>
      </c>
      <c r="D313" s="2">
        <v>5153390.629999999</v>
      </c>
      <c r="E313" s="2">
        <v>4723972.58</v>
      </c>
      <c r="F313" s="2">
        <v>5200561.5399999991</v>
      </c>
      <c r="G313" s="2">
        <v>5068455.3199999994</v>
      </c>
      <c r="H313" s="2">
        <v>5611706.6900000004</v>
      </c>
      <c r="I313" s="2">
        <v>5483782.4099999992</v>
      </c>
      <c r="J313" s="2">
        <v>2042624.76</v>
      </c>
      <c r="K313" s="2">
        <v>33284493.929999992</v>
      </c>
      <c r="L313" s="2"/>
      <c r="M313" t="str">
        <f t="shared" si="17"/>
        <v>insert into business_analytic.report.orenda values(2026, 1, '2021150200', 'Київ,Фора-552 Світлицького,23', NULL, 5153390.63, 'TO');</v>
      </c>
      <c r="N313" t="str">
        <f t="shared" si="18"/>
        <v>insert into business_analytic.report.orenda values(2026, 2, '2021150200', 'Київ,Фора-552 Світлицького,23', NULL, 4723972.58, 'TO');</v>
      </c>
      <c r="O313" t="str">
        <f t="shared" si="18"/>
        <v>insert into business_analytic.report.orenda values(2026, 3, '2021150200', 'Київ,Фора-552 Світлицького,23', NULL, 5200561.54, 'TO');</v>
      </c>
      <c r="P313" t="str">
        <f t="shared" si="19"/>
        <v>insert into business_analytic.report.orenda values(2026, 4, '2021150200', 'Київ,Фора-552 Світлицького,23', NULL, 5068455.32, 'TO');</v>
      </c>
      <c r="Q313" t="str">
        <f t="shared" si="20"/>
        <v>insert into business_analytic.report.orenda values(2026, 5, '2021150200', 'Київ,Фора-552 Світлицького,23', NULL, 5611706.69, 'TO');</v>
      </c>
    </row>
    <row r="314" spans="1:17" x14ac:dyDescent="0.3">
      <c r="A314" t="s">
        <v>406</v>
      </c>
      <c r="B314" t="s">
        <v>1178</v>
      </c>
      <c r="C314" t="s">
        <v>1179</v>
      </c>
      <c r="D314" s="2">
        <v>2910465.34</v>
      </c>
      <c r="E314" s="2">
        <v>2664101.6</v>
      </c>
      <c r="F314" s="2">
        <v>3166050.87</v>
      </c>
      <c r="G314" s="2">
        <v>3174658.3099999996</v>
      </c>
      <c r="H314" s="2">
        <v>3474115.3600000003</v>
      </c>
      <c r="I314" s="2">
        <v>3178451.9299999997</v>
      </c>
      <c r="J314" s="2">
        <v>1186467.01</v>
      </c>
      <c r="K314" s="2">
        <v>19754310.420000002</v>
      </c>
      <c r="L314" s="2"/>
      <c r="M314" t="str">
        <f t="shared" si="17"/>
        <v>insert into business_analytic.report.orenda values(2026, 1, '2021150300', 'Київ,Фора-560 Тростянецька,4/2', NULL, 2910465.34, 'TO');</v>
      </c>
      <c r="N314" t="str">
        <f t="shared" si="18"/>
        <v>insert into business_analytic.report.orenda values(2026, 2, '2021150300', 'Київ,Фора-560 Тростянецька,4/2', NULL, 2664101.6, 'TO');</v>
      </c>
      <c r="O314" t="str">
        <f t="shared" si="18"/>
        <v>insert into business_analytic.report.orenda values(2026, 3, '2021150300', 'Київ,Фора-560 Тростянецька,4/2', NULL, 3166050.87, 'TO');</v>
      </c>
      <c r="P314" t="str">
        <f t="shared" si="19"/>
        <v>insert into business_analytic.report.orenda values(2026, 4, '2021150300', 'Київ,Фора-560 Тростянецька,4/2', NULL, 3174658.31, 'TO');</v>
      </c>
      <c r="Q314" t="str">
        <f t="shared" si="20"/>
        <v>insert into business_analytic.report.orenda values(2026, 5, '2021150300', 'Київ,Фора-560 Тростянецька,4/2', NULL, 3474115.36, 'TO');</v>
      </c>
    </row>
    <row r="315" spans="1:17" x14ac:dyDescent="0.3">
      <c r="A315" t="s">
        <v>407</v>
      </c>
      <c r="B315" t="s">
        <v>1180</v>
      </c>
      <c r="C315" t="s">
        <v>1181</v>
      </c>
      <c r="D315" s="2">
        <v>6021002.5299999993</v>
      </c>
      <c r="E315" s="2">
        <v>5741887.0499999998</v>
      </c>
      <c r="F315" s="2">
        <v>6729134.8700000001</v>
      </c>
      <c r="G315" s="2">
        <v>6926806.8300000001</v>
      </c>
      <c r="H315" s="2">
        <v>7576287.4100000001</v>
      </c>
      <c r="I315" s="2">
        <v>7096401.669999999</v>
      </c>
      <c r="J315" s="2">
        <v>2563567.0599999996</v>
      </c>
      <c r="K315" s="2">
        <v>42655087.420000002</v>
      </c>
      <c r="L315" s="2"/>
      <c r="M315" t="str">
        <f t="shared" si="17"/>
        <v>insert into business_analytic.report.orenda values(2026, 1, '2021150400', 'Київ,Фора-572 Дарницький,23', NULL, 6021002.53, 'TO');</v>
      </c>
      <c r="N315" t="str">
        <f t="shared" si="18"/>
        <v>insert into business_analytic.report.orenda values(2026, 2, '2021150400', 'Київ,Фора-572 Дарницький,23', NULL, 5741887.05, 'TO');</v>
      </c>
      <c r="O315" t="str">
        <f t="shared" si="18"/>
        <v>insert into business_analytic.report.orenda values(2026, 3, '2021150400', 'Київ,Фора-572 Дарницький,23', NULL, 6729134.87, 'TO');</v>
      </c>
      <c r="P315" t="str">
        <f t="shared" si="19"/>
        <v>insert into business_analytic.report.orenda values(2026, 4, '2021150400', 'Київ,Фора-572 Дарницький,23', NULL, 6926806.83, 'TO');</v>
      </c>
      <c r="Q315" t="str">
        <f t="shared" si="20"/>
        <v>insert into business_analytic.report.orenda values(2026, 5, '2021150400', 'Київ,Фора-572 Дарницький,23', NULL, 7576287.41, 'TO');</v>
      </c>
    </row>
    <row r="316" spans="1:17" x14ac:dyDescent="0.3">
      <c r="A316" t="s">
        <v>67</v>
      </c>
      <c r="B316" t="s">
        <v>562</v>
      </c>
      <c r="C316" t="s">
        <v>848</v>
      </c>
      <c r="D316" s="2">
        <v>5915548.9699999997</v>
      </c>
      <c r="E316" s="2">
        <v>6083657.79</v>
      </c>
      <c r="F316" s="2">
        <v>7518744.6699999999</v>
      </c>
      <c r="G316" s="2">
        <v>7657073.3599999985</v>
      </c>
      <c r="H316" s="2">
        <v>8684498.5200000014</v>
      </c>
      <c r="I316" s="2">
        <v>8545224.2999999989</v>
      </c>
      <c r="J316" s="2">
        <v>3138506.1799999997</v>
      </c>
      <c r="K316" s="2">
        <v>47543253.789999999</v>
      </c>
      <c r="L316" s="2"/>
      <c r="M316" t="str">
        <f t="shared" si="17"/>
        <v>insert into business_analytic.report.orenda values(2026, 1, '2021150500', 'Київ,Фора-574 Чибінєєвих Братів,8А', NULL, 5915548.97, 'TO');</v>
      </c>
      <c r="N316" t="str">
        <f t="shared" si="18"/>
        <v>insert into business_analytic.report.orenda values(2026, 2, '2021150500', 'Київ,Фора-574 Чибінєєвих Братів,8А', NULL, 6083657.79, 'TO');</v>
      </c>
      <c r="O316" t="str">
        <f t="shared" si="18"/>
        <v>insert into business_analytic.report.orenda values(2026, 3, '2021150500', 'Київ,Фора-574 Чибінєєвих Братів,8А', NULL, 7518744.67, 'TO');</v>
      </c>
      <c r="P316" t="str">
        <f t="shared" si="19"/>
        <v>insert into business_analytic.report.orenda values(2026, 4, '2021150500', 'Київ,Фора-574 Чибінєєвих Братів,8А', NULL, 7657073.36, 'TO');</v>
      </c>
      <c r="Q316" t="str">
        <f t="shared" si="20"/>
        <v>insert into business_analytic.report.orenda values(2026, 5, '2021150500', 'Київ,Фора-574 Чибінєєвих Братів,8А', NULL, 8684498.52, 'TO');</v>
      </c>
    </row>
    <row r="317" spans="1:17" x14ac:dyDescent="0.3">
      <c r="A317" s="3" t="s">
        <v>415</v>
      </c>
      <c r="B317" s="3" t="s">
        <v>563</v>
      </c>
      <c r="C317" t="s">
        <v>1212</v>
      </c>
      <c r="D317" s="2"/>
      <c r="E317" s="2"/>
      <c r="F317" s="2">
        <v>4159610.26</v>
      </c>
      <c r="G317" s="2">
        <v>7292790.8100000005</v>
      </c>
      <c r="H317" s="2">
        <v>8287060.8399999999</v>
      </c>
      <c r="I317" s="2">
        <v>8486261.3899999987</v>
      </c>
      <c r="J317" s="2">
        <v>3256782.54</v>
      </c>
      <c r="K317" s="2">
        <v>31482505.839999996</v>
      </c>
      <c r="L317" s="2"/>
      <c r="M317" t="str">
        <f t="shared" si="17"/>
        <v>insert into business_analytic.report.orenda values(2026, 1, '2021150600', 'Крюківщина,Фора-580 Володимирська,1', NULL, 0, 'TO');</v>
      </c>
      <c r="N317" t="str">
        <f t="shared" si="18"/>
        <v>insert into business_analytic.report.orenda values(2026, 2, '2021150600', 'Крюківщина,Фора-580 Володимирська,1', NULL, 0, 'TO');</v>
      </c>
      <c r="O317" t="str">
        <f t="shared" si="18"/>
        <v>insert into business_analytic.report.orenda values(2026, 3, '2021150600', 'Крюківщина,Фора-580 Володимирська,1', NULL, 4159610.26, 'TO');</v>
      </c>
      <c r="P317" t="str">
        <f t="shared" si="19"/>
        <v>insert into business_analytic.report.orenda values(2026, 4, '2021150600', 'Крюківщина,Фора-580 Володимирська,1', NULL, 7292790.81, 'TO');</v>
      </c>
      <c r="Q317" t="str">
        <f t="shared" si="20"/>
        <v>insert into business_analytic.report.orenda values(2026, 5, '2021150600', 'Крюківщина,Фора-580 Володимирська,1', NULL, 8287060.84, 'TO');</v>
      </c>
    </row>
    <row r="318" spans="1:17" x14ac:dyDescent="0.3">
      <c r="A318" t="s">
        <v>1236</v>
      </c>
      <c r="B318" t="s">
        <v>1237</v>
      </c>
      <c r="D318" s="2"/>
      <c r="E318" s="2"/>
      <c r="F318" s="2"/>
      <c r="G318" s="2"/>
      <c r="H318" s="2"/>
      <c r="I318" s="2">
        <v>498798.19</v>
      </c>
      <c r="J318" s="2">
        <v>4356399.51</v>
      </c>
      <c r="K318" s="2">
        <v>4855197.7</v>
      </c>
      <c r="L318" s="5"/>
      <c r="M318" t="str">
        <f t="shared" si="17"/>
        <v>insert into business_analytic.report.orenda values(2026, 1, '2021150900', 'Боярка,Фора-Proj-07 Соборності,53А', NULL, 0, 'TO');</v>
      </c>
      <c r="N318" t="str">
        <f t="shared" si="18"/>
        <v>insert into business_analytic.report.orenda values(2026, 2, '2021150900', 'Боярка,Фора-Proj-07 Соборності,53А', NULL, 0, 'TO');</v>
      </c>
      <c r="O318" t="str">
        <f t="shared" si="18"/>
        <v>insert into business_analytic.report.orenda values(2026, 3, '2021150900', 'Боярка,Фора-Proj-07 Соборності,53А', NULL, 0, 'TO');</v>
      </c>
      <c r="P318" t="str">
        <f t="shared" si="19"/>
        <v>insert into business_analytic.report.orenda values(2026, 4, '2021150900', 'Боярка,Фора-Proj-07 Соборності,53А', NULL, 0, 'TO');</v>
      </c>
      <c r="Q318" t="str">
        <f t="shared" si="20"/>
        <v>insert into business_analytic.report.orenda values(2026, 5, '2021150900', 'Боярка,Фора-Proj-07 Соборності,53А', NULL, 0, 'TO');</v>
      </c>
    </row>
    <row r="319" spans="1:17" x14ac:dyDescent="0.3">
      <c r="A319" s="3" t="s">
        <v>1218</v>
      </c>
      <c r="B319" s="3" t="s">
        <v>1219</v>
      </c>
      <c r="C319" s="3"/>
      <c r="D319" s="5"/>
      <c r="E319" s="5"/>
      <c r="F319" s="5"/>
      <c r="G319" s="5">
        <v>2332062.0000000005</v>
      </c>
      <c r="H319" s="5">
        <v>9346823.0199999996</v>
      </c>
      <c r="I319" s="5">
        <v>10166292.970000001</v>
      </c>
      <c r="J319" s="5">
        <v>4279968.4400000004</v>
      </c>
      <c r="K319" s="5">
        <v>26125146.430000003</v>
      </c>
      <c r="L319" s="2"/>
      <c r="M319" t="str">
        <f t="shared" si="17"/>
        <v>insert into business_analytic.report.orenda values(2026, 1, '2021160000', 'Тарасівка,Фора-586 Шевченка,178А', NULL, 0, 'TO');</v>
      </c>
      <c r="N319" t="str">
        <f t="shared" si="18"/>
        <v>insert into business_analytic.report.orenda values(2026, 2, '2021160000', 'Тарасівка,Фора-586 Шевченка,178А', NULL, 0, 'TO');</v>
      </c>
      <c r="O319" t="str">
        <f t="shared" si="18"/>
        <v>insert into business_analytic.report.orenda values(2026, 3, '2021160000', 'Тарасівка,Фора-586 Шевченка,178А', NULL, 0, 'TO');</v>
      </c>
      <c r="P319" t="str">
        <f t="shared" si="19"/>
        <v>insert into business_analytic.report.orenda values(2026, 4, '2021160000', 'Тарасівка,Фора-586 Шевченка,178А', NULL, 2332062, 'TO');</v>
      </c>
      <c r="Q319" t="str">
        <f t="shared" si="20"/>
        <v>insert into business_analytic.report.orenda values(2026, 5, '2021160000', 'Тарасівка,Фора-586 Шевченка,178А', NULL, 9346823.02, 'TO');</v>
      </c>
    </row>
    <row r="320" spans="1:17" x14ac:dyDescent="0.3">
      <c r="A320" t="s">
        <v>1238</v>
      </c>
      <c r="B320" t="s">
        <v>1239</v>
      </c>
      <c r="D320" s="2"/>
      <c r="E320" s="2"/>
      <c r="F320" s="2"/>
      <c r="G320" s="2"/>
      <c r="H320" s="2"/>
      <c r="I320" s="2"/>
      <c r="J320" s="2">
        <v>2747886.5999999996</v>
      </c>
      <c r="K320" s="2">
        <v>2747886.5999999996</v>
      </c>
      <c r="L320" s="2"/>
      <c r="M320" t="str">
        <f t="shared" si="17"/>
        <v>insert into business_analytic.report.orenda values(2026, 1, '2021160400', 'Пухівка,Фора-Proj-18 Центральна,103А', NULL, 0, 'TO');</v>
      </c>
      <c r="N320" t="str">
        <f t="shared" si="18"/>
        <v>insert into business_analytic.report.orenda values(2026, 2, '2021160400', 'Пухівка,Фора-Proj-18 Центральна,103А', NULL, 0, 'TO');</v>
      </c>
      <c r="O320" t="str">
        <f t="shared" si="18"/>
        <v>insert into business_analytic.report.orenda values(2026, 3, '2021160400', 'Пухівка,Фора-Proj-18 Центральна,103А', NULL, 0, 'TO');</v>
      </c>
      <c r="P320" t="str">
        <f t="shared" si="19"/>
        <v>insert into business_analytic.report.orenda values(2026, 4, '2021160400', 'Пухівка,Фора-Proj-18 Центральна,103А', NULL, 0, 'TO');</v>
      </c>
      <c r="Q320" t="str">
        <f t="shared" si="20"/>
        <v>insert into business_analytic.report.orenda values(2026, 5, '2021160400', 'Пухівка,Фора-Proj-18 Центральна,103А', NULL, 0, 'TO');</v>
      </c>
    </row>
    <row r="321" spans="1:17" x14ac:dyDescent="0.3">
      <c r="A321" t="s">
        <v>1240</v>
      </c>
      <c r="B321" t="s">
        <v>1241</v>
      </c>
      <c r="D321" s="2"/>
      <c r="E321" s="2"/>
      <c r="F321" s="2"/>
      <c r="G321" s="2"/>
      <c r="H321" s="2"/>
      <c r="I321" s="2">
        <v>10334529.93</v>
      </c>
      <c r="J321" s="2">
        <v>3711608.9499999997</v>
      </c>
      <c r="K321" s="2">
        <v>14046138.879999999</v>
      </c>
      <c r="L321" s="2"/>
      <c r="M321" t="str">
        <f t="shared" si="17"/>
        <v>insert into business_analytic.report.orenda values(2026, 1, '2021160500', 'Київ,Фора-591 Куліша,15А', NULL, 0, 'TO');</v>
      </c>
      <c r="N321" t="str">
        <f t="shared" si="18"/>
        <v>insert into business_analytic.report.orenda values(2026, 2, '2021160500', 'Київ,Фора-591 Куліша,15А', NULL, 0, 'TO');</v>
      </c>
      <c r="O321" t="str">
        <f t="shared" si="18"/>
        <v>insert into business_analytic.report.orenda values(2026, 3, '2021160500', 'Київ,Фора-591 Куліша,15А', NULL, 0, 'TO');</v>
      </c>
      <c r="P321" t="str">
        <f t="shared" si="19"/>
        <v>insert into business_analytic.report.orenda values(2026, 4, '2021160500', 'Київ,Фора-591 Куліша,15А', NULL, 0, 'TO');</v>
      </c>
      <c r="Q321" t="str">
        <f t="shared" si="20"/>
        <v>insert into business_analytic.report.orenda values(2026, 5, '2021160500', 'Київ,Фора-591 Куліша,15А', NULL, 0, 'TO');</v>
      </c>
    </row>
    <row r="322" spans="1:17" x14ac:dyDescent="0.3">
      <c r="A322" t="s">
        <v>408</v>
      </c>
      <c r="B322" t="s">
        <v>1182</v>
      </c>
      <c r="C322" t="s">
        <v>1183</v>
      </c>
      <c r="D322" s="2">
        <v>18322623.139999997</v>
      </c>
      <c r="E322" s="2">
        <v>17067513.069999997</v>
      </c>
      <c r="F322" s="2">
        <v>17498833.979999997</v>
      </c>
      <c r="G322" s="2">
        <v>16683974.84</v>
      </c>
      <c r="H322" s="2">
        <v>18477540.559999999</v>
      </c>
      <c r="I322" s="2">
        <v>19539801.370000001</v>
      </c>
      <c r="J322" s="2">
        <v>7824931.8799999999</v>
      </c>
      <c r="K322" s="2">
        <v>115415218.83999999</v>
      </c>
      <c r="L322" s="2"/>
      <c r="M322" t="str">
        <f t="shared" si="17"/>
        <v>insert into business_analytic.report.orenda values(2026, 1, '2021195500', 'Бородянка,Фора-064 Центральна,343', NULL, 18322623.14, 'TO');</v>
      </c>
      <c r="N322" t="str">
        <f t="shared" si="18"/>
        <v>insert into business_analytic.report.orenda values(2026, 2, '2021195500', 'Бородянка,Фора-064 Центральна,343', NULL, 17067513.07, 'TO');</v>
      </c>
      <c r="O322" t="str">
        <f t="shared" si="18"/>
        <v>insert into business_analytic.report.orenda values(2026, 3, '2021195500', 'Бородянка,Фора-064 Центральна,343', NULL, 17498833.98, 'TO');</v>
      </c>
      <c r="P322" t="str">
        <f t="shared" si="19"/>
        <v>insert into business_analytic.report.orenda values(2026, 4, '2021195500', 'Бородянка,Фора-064 Центральна,343', NULL, 16683974.84, 'TO');</v>
      </c>
      <c r="Q322" t="str">
        <f t="shared" si="20"/>
        <v>insert into business_analytic.report.orenda values(2026, 5, '2021195500', 'Бородянка,Фора-064 Центральна,343', NULL, 18477540.56, 'TO');</v>
      </c>
    </row>
    <row r="323" spans="1:17" x14ac:dyDescent="0.3">
      <c r="A323" t="s">
        <v>211</v>
      </c>
      <c r="B323" t="s">
        <v>1193</v>
      </c>
      <c r="D323" s="2">
        <v>-788195.39</v>
      </c>
      <c r="E323" s="2">
        <v>-489127.97</v>
      </c>
      <c r="F323" s="2">
        <v>1394301.89</v>
      </c>
      <c r="G323" s="2">
        <v>-303818.95999999996</v>
      </c>
      <c r="H323" s="2">
        <v>-545898.07999999996</v>
      </c>
      <c r="I323" s="2">
        <v>-85307.4</v>
      </c>
      <c r="J323" s="2"/>
      <c r="K323" s="2">
        <v>-818045.91</v>
      </c>
      <c r="L323" s="2"/>
      <c r="M323" t="str">
        <f t="shared" si="17"/>
        <v>insert into business_analytic.report.orenda values(2026, 1, '20211A2525', 'Фора Дирекція 5001', NULL, -788195.39, 'TO');</v>
      </c>
      <c r="N323" t="str">
        <f t="shared" si="18"/>
        <v>insert into business_analytic.report.orenda values(2026, 2, '20211A2525', 'Фора Дирекція 5001', NULL, -489127.97, 'TO');</v>
      </c>
      <c r="O323" t="str">
        <f t="shared" si="18"/>
        <v>insert into business_analytic.report.orenda values(2026, 3, '20211A2525', 'Фора Дирекція 5001', NULL, 1394301.89, 'TO');</v>
      </c>
      <c r="P323" t="str">
        <f t="shared" si="19"/>
        <v>insert into business_analytic.report.orenda values(2026, 4, '20211A2525', 'Фора Дирекція 5001', NULL, -303818.96, 'TO');</v>
      </c>
      <c r="Q323" t="str">
        <f t="shared" si="20"/>
        <v>insert into business_analytic.report.orenda values(2026, 5, '20211A2525', 'Фора Дирекція 5001', NULL, -545898.08, 'TO');</v>
      </c>
    </row>
    <row r="324" spans="1:17" x14ac:dyDescent="0.3">
      <c r="A324" t="s">
        <v>1220</v>
      </c>
      <c r="B324" t="s">
        <v>1221</v>
      </c>
      <c r="D324" s="2"/>
      <c r="E324" s="2"/>
      <c r="F324" s="2">
        <v>65114.2</v>
      </c>
      <c r="G324" s="2">
        <v>201646.56999999998</v>
      </c>
      <c r="H324" s="2">
        <v>158795.94999999998</v>
      </c>
      <c r="I324" s="2"/>
      <c r="J324" s="2"/>
      <c r="K324" s="2">
        <v>425556.72</v>
      </c>
      <c r="L324" s="2"/>
      <c r="M324" t="str">
        <f t="shared" si="17"/>
        <v>insert into business_analytic.report.orenda values(2026, 1, '20211A2527', 'Фора Загально збутове', NULL, 0, 'TO');</v>
      </c>
      <c r="N324" t="str">
        <f t="shared" si="18"/>
        <v>insert into business_analytic.report.orenda values(2026, 2, '20211A2527', 'Фора Загально збутове', NULL, 0, 'TO');</v>
      </c>
      <c r="O324" t="str">
        <f t="shared" si="18"/>
        <v>insert into business_analytic.report.orenda values(2026, 3, '20211A2527', 'Фора Загально збутове', NULL, 65114.2, 'TO');</v>
      </c>
      <c r="P324" t="str">
        <f t="shared" si="19"/>
        <v>insert into business_analytic.report.orenda values(2026, 4, '20211A2527', 'Фора Загально збутове', NULL, 201646.57, 'TO');</v>
      </c>
      <c r="Q324" t="str">
        <f t="shared" si="20"/>
        <v>insert into business_analytic.report.orenda values(2026, 5, '20211A2527', 'Фора Загально збутове', NULL, 158795.95, 'TO');</v>
      </c>
    </row>
    <row r="325" spans="1:17" x14ac:dyDescent="0.3">
      <c r="A325" t="s">
        <v>212</v>
      </c>
      <c r="B325" t="s">
        <v>1194</v>
      </c>
      <c r="D325" s="2">
        <v>210756.16</v>
      </c>
      <c r="E325" s="2">
        <v>169293.47999999998</v>
      </c>
      <c r="F325" s="2">
        <v>176258.52</v>
      </c>
      <c r="G325" s="2">
        <v>206431.94999999998</v>
      </c>
      <c r="H325" s="2">
        <v>239936.36</v>
      </c>
      <c r="I325" s="2">
        <v>280377.70999999996</v>
      </c>
      <c r="J325" s="2">
        <v>93319.25</v>
      </c>
      <c r="K325" s="2">
        <v>1376373.43</v>
      </c>
      <c r="L325" s="2"/>
      <c r="M325" t="str">
        <f t="shared" si="17"/>
        <v>insert into business_analytic.report.orenda values(2026, 1, '20211I0218', 'Київ,Фора МРЦ Зрошувальна,5', NULL, 210756.16, 'TO');</v>
      </c>
      <c r="N325" t="str">
        <f t="shared" si="18"/>
        <v>insert into business_analytic.report.orenda values(2026, 2, '20211I0218', 'Київ,Фора МРЦ Зрошувальна,5', NULL, 169293.48, 'TO');</v>
      </c>
      <c r="O325" t="str">
        <f t="shared" si="18"/>
        <v>insert into business_analytic.report.orenda values(2026, 3, '20211I0218', 'Київ,Фора МРЦ Зрошувальна,5', NULL, 176258.52, 'TO');</v>
      </c>
      <c r="P325" t="str">
        <f t="shared" si="19"/>
        <v>insert into business_analytic.report.orenda values(2026, 4, '20211I0218', 'Київ,Фора МРЦ Зрошувальна,5', NULL, 206431.95, 'TO');</v>
      </c>
      <c r="Q325" t="str">
        <f t="shared" si="20"/>
        <v>insert into business_analytic.report.orenda values(2026, 5, '20211I0218', 'Київ,Фора МРЦ Зрошувальна,5', NULL, 239936.36, 'TO');</v>
      </c>
    </row>
    <row r="326" spans="1:17" x14ac:dyDescent="0.3">
      <c r="A326" t="s">
        <v>213</v>
      </c>
      <c r="B326" t="s">
        <v>1195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1202303.03</v>
      </c>
      <c r="J326" s="2">
        <v>1121208.3399999999</v>
      </c>
      <c r="K326" s="2">
        <v>2323511.37</v>
      </c>
      <c r="L326" s="2"/>
      <c r="M326" t="str">
        <f t="shared" si="17"/>
        <v>insert into business_analytic.report.orenda values(2026, 1, '20211RC016', 'Квітневе,Фора СРЦ Гоголівська,1а', NULL, 0, 'TO');</v>
      </c>
      <c r="N326" t="str">
        <f t="shared" si="18"/>
        <v>insert into business_analytic.report.orenda values(2026, 2, '20211RC016', 'Квітневе,Фора СРЦ Гоголівська,1а', NULL, 0, 'TO');</v>
      </c>
      <c r="O326" t="str">
        <f t="shared" si="18"/>
        <v>insert into business_analytic.report.orenda values(2026, 3, '20211RC016', 'Квітневе,Фора СРЦ Гоголівська,1а', NULL, 0, 'TO');</v>
      </c>
      <c r="P326" t="str">
        <f t="shared" si="19"/>
        <v>insert into business_analytic.report.orenda values(2026, 4, '20211RC016', 'Квітневе,Фора СРЦ Гоголівська,1а', NULL, 0, 'TO');</v>
      </c>
      <c r="Q326" t="str">
        <f t="shared" si="20"/>
        <v>insert into business_analytic.report.orenda values(2026, 5, '20211RC016', 'Квітневе,Фора СРЦ Гоголівська,1а', NULL, 0, 'TO');</v>
      </c>
    </row>
    <row r="327" spans="1:17" x14ac:dyDescent="0.3">
      <c r="A327" t="s">
        <v>214</v>
      </c>
      <c r="B327" t="s">
        <v>1196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848782.58</v>
      </c>
      <c r="J327" s="2">
        <v>187757.97999999998</v>
      </c>
      <c r="K327" s="2">
        <v>1036540.5599999999</v>
      </c>
      <c r="L327" s="2"/>
      <c r="M327" t="str">
        <f t="shared" si="17"/>
        <v>insert into business_analytic.report.orenda values(2026, 1, '20211RC026', 'Квітневе,Фора Скороп РЦ Гоголівська,1-А', NULL, 0, 'TO');</v>
      </c>
      <c r="N327" t="str">
        <f t="shared" si="18"/>
        <v>insert into business_analytic.report.orenda values(2026, 2, '20211RC026', 'Квітневе,Фора Скороп РЦ Гоголівська,1-А', NULL, 0, 'TO');</v>
      </c>
      <c r="O327" t="str">
        <f t="shared" si="18"/>
        <v>insert into business_analytic.report.orenda values(2026, 3, '20211RC026', 'Квітневе,Фора Скороп РЦ Гоголівська,1-А', NULL, 0, 'TO');</v>
      </c>
      <c r="P327" t="str">
        <f t="shared" si="19"/>
        <v>insert into business_analytic.report.orenda values(2026, 4, '20211RC026', 'Квітневе,Фора Скороп РЦ Гоголівська,1-А', NULL, 0, 'TO');</v>
      </c>
      <c r="Q327" t="str">
        <f t="shared" si="20"/>
        <v>insert into business_analytic.report.orenda values(2026, 5, '20211RC026', 'Квітневе,Фора Скороп РЦ Гоголівська,1-А', NULL, 0, 'TO');</v>
      </c>
    </row>
    <row r="328" spans="1:17" x14ac:dyDescent="0.3">
      <c r="A328" t="s">
        <v>215</v>
      </c>
      <c r="B328" t="s">
        <v>564</v>
      </c>
      <c r="C328" t="s">
        <v>724</v>
      </c>
      <c r="D328" s="2">
        <v>4798928.5</v>
      </c>
      <c r="E328" s="2">
        <v>4555336.3699999992</v>
      </c>
      <c r="F328" s="2">
        <v>5212027.9400000004</v>
      </c>
      <c r="G328" s="2">
        <v>5229873.9800000004</v>
      </c>
      <c r="H328" s="2">
        <v>5841936.6099999994</v>
      </c>
      <c r="I328" s="2">
        <v>6207553.169999999</v>
      </c>
      <c r="J328" s="2">
        <v>2142420.25</v>
      </c>
      <c r="K328" s="2">
        <v>33988076.82</v>
      </c>
      <c r="L328" s="2"/>
      <c r="M328" t="str">
        <f t="shared" si="17"/>
        <v>insert into business_analytic.report.orenda values(2026, 1, '2021200600', 'Бердичів,Фора-110 Вінницька,18', NULL, 4798928.5, 'TO');</v>
      </c>
      <c r="N328" t="str">
        <f t="shared" si="18"/>
        <v>insert into business_analytic.report.orenda values(2026, 2, '2021200600', 'Бердичів,Фора-110 Вінницька,18', NULL, 4555336.37, 'TO');</v>
      </c>
      <c r="O328" t="str">
        <f t="shared" si="18"/>
        <v>insert into business_analytic.report.orenda values(2026, 3, '2021200600', 'Бердичів,Фора-110 Вінницька,18', NULL, 5212027.94, 'TO');</v>
      </c>
      <c r="P328" t="str">
        <f t="shared" si="19"/>
        <v>insert into business_analytic.report.orenda values(2026, 4, '2021200600', 'Бердичів,Фора-110 Вінницька,18', NULL, 5229873.98, 'TO');</v>
      </c>
      <c r="Q328" t="str">
        <f t="shared" si="20"/>
        <v>insert into business_analytic.report.orenda values(2026, 5, '2021200600', 'Бердичів,Фора-110 Вінницька,18', NULL, 5841936.61, 'TO');</v>
      </c>
    </row>
    <row r="329" spans="1:17" x14ac:dyDescent="0.3">
      <c r="A329" t="s">
        <v>216</v>
      </c>
      <c r="B329" t="s">
        <v>565</v>
      </c>
      <c r="C329" t="s">
        <v>724</v>
      </c>
      <c r="D329" s="2">
        <v>8646016.5600000005</v>
      </c>
      <c r="E329" s="2">
        <v>8127262.75</v>
      </c>
      <c r="F329" s="2">
        <v>8901042.6899999995</v>
      </c>
      <c r="G329" s="2">
        <v>8937509.2400000002</v>
      </c>
      <c r="H329" s="2">
        <v>9261688.5600000005</v>
      </c>
      <c r="I329" s="2">
        <v>8830409</v>
      </c>
      <c r="J329" s="2">
        <v>3368854.9299999997</v>
      </c>
      <c r="K329" s="2">
        <v>56072783.730000012</v>
      </c>
      <c r="L329" s="2"/>
      <c r="M329" t="str">
        <f t="shared" ref="M329:M392" si="21">"insert into business_analytic.report.orenda values("&amp;2026&amp;", "&amp;D$7&amp;", '"&amp;$A329&amp;"', '"&amp;$B329&amp;"', "&amp;"NULL"&amp;", "&amp;IF(D329="",0,D329)&amp;", "&amp;"'TO'"&amp;");"</f>
        <v>insert into business_analytic.report.orenda values(2026, 1, '2021200700', 'Коростень,Фора-135 Грушевського,34', NULL, 8646016.56, 'TO');</v>
      </c>
      <c r="N329" t="str">
        <f t="shared" ref="N329:O392" si="22">"insert into business_analytic.report.orenda values("&amp;2026&amp;", "&amp;E$7&amp;", '"&amp;$A329&amp;"', '"&amp;$B329&amp;"', "&amp;"NULL"&amp;", "&amp;IF(E329="",0,E329)&amp;", "&amp;"'TO'"&amp;");"</f>
        <v>insert into business_analytic.report.orenda values(2026, 2, '2021200700', 'Коростень,Фора-135 Грушевського,34', NULL, 8127262.75, 'TO');</v>
      </c>
      <c r="O329" t="str">
        <f t="shared" si="22"/>
        <v>insert into business_analytic.report.orenda values(2026, 3, '2021200700', 'Коростень,Фора-135 Грушевського,34', NULL, 8901042.69, 'TO');</v>
      </c>
      <c r="P329" t="str">
        <f t="shared" ref="P329:P392" si="23">"insert into business_analytic.report.orenda values("&amp;2026&amp;", "&amp;G$7&amp;", '"&amp;$A329&amp;"', '"&amp;$B329&amp;"', "&amp;"NULL"&amp;", "&amp;IF(G329="",0,G329)&amp;", "&amp;"'TO'"&amp;");"</f>
        <v>insert into business_analytic.report.orenda values(2026, 4, '2021200700', 'Коростень,Фора-135 Грушевського,34', NULL, 8937509.24, 'TO');</v>
      </c>
      <c r="Q329" t="str">
        <f t="shared" ref="Q329:Q392" si="24">"insert into business_analytic.report.orenda values("&amp;2026&amp;", "&amp;H$7&amp;", '"&amp;$A329&amp;"', '"&amp;$B329&amp;"', "&amp;"NULL"&amp;", "&amp;IF(H329="",0,H329)&amp;", "&amp;"'TO'"&amp;");"</f>
        <v>insert into business_analytic.report.orenda values(2026, 5, '2021200700', 'Коростень,Фора-135 Грушевського,34', NULL, 9261688.56, 'TO');</v>
      </c>
    </row>
    <row r="330" spans="1:17" x14ac:dyDescent="0.3">
      <c r="A330" t="s">
        <v>217</v>
      </c>
      <c r="B330" t="s">
        <v>566</v>
      </c>
      <c r="C330" t="s">
        <v>849</v>
      </c>
      <c r="D330" s="2">
        <v>7932795.6299999999</v>
      </c>
      <c r="E330" s="2">
        <v>7366594.7299999995</v>
      </c>
      <c r="F330" s="2">
        <v>8104385.2799999993</v>
      </c>
      <c r="G330" s="2">
        <v>8406838.6400000006</v>
      </c>
      <c r="H330" s="2">
        <v>8429674.3100000005</v>
      </c>
      <c r="I330" s="2">
        <v>8285590.3899999997</v>
      </c>
      <c r="J330" s="2">
        <v>3117888.97</v>
      </c>
      <c r="K330" s="2">
        <v>51643767.950000003</v>
      </c>
      <c r="L330" s="2"/>
      <c r="M330" t="str">
        <f t="shared" si="21"/>
        <v>insert into business_analytic.report.orenda values(2026, 1, '2021200800', 'Бердичів,Фора-142 Привокзальна,1А', NULL, 7932795.63, 'TO');</v>
      </c>
      <c r="N330" t="str">
        <f t="shared" si="22"/>
        <v>insert into business_analytic.report.orenda values(2026, 2, '2021200800', 'Бердичів,Фора-142 Привокзальна,1А', NULL, 7366594.73, 'TO');</v>
      </c>
      <c r="O330" t="str">
        <f t="shared" si="22"/>
        <v>insert into business_analytic.report.orenda values(2026, 3, '2021200800', 'Бердичів,Фора-142 Привокзальна,1А', NULL, 8104385.28, 'TO');</v>
      </c>
      <c r="P330" t="str">
        <f t="shared" si="23"/>
        <v>insert into business_analytic.report.orenda values(2026, 4, '2021200800', 'Бердичів,Фора-142 Привокзальна,1А', NULL, 8406838.64, 'TO');</v>
      </c>
      <c r="Q330" t="str">
        <f t="shared" si="24"/>
        <v>insert into business_analytic.report.orenda values(2026, 5, '2021200800', 'Бердичів,Фора-142 Привокзальна,1А', NULL, 8429674.31, 'TO');</v>
      </c>
    </row>
    <row r="331" spans="1:17" x14ac:dyDescent="0.3">
      <c r="A331" t="s">
        <v>218</v>
      </c>
      <c r="B331" t="s">
        <v>567</v>
      </c>
      <c r="C331" t="s">
        <v>850</v>
      </c>
      <c r="D331" s="2">
        <v>12782720.360000001</v>
      </c>
      <c r="E331" s="2">
        <v>11771179.869999999</v>
      </c>
      <c r="F331" s="2">
        <v>12752322.66</v>
      </c>
      <c r="G331" s="2">
        <v>12838693.780000001</v>
      </c>
      <c r="H331" s="2">
        <v>12889962.24</v>
      </c>
      <c r="I331" s="2">
        <v>12159091.469999999</v>
      </c>
      <c r="J331" s="2">
        <v>4461878.2799999993</v>
      </c>
      <c r="K331" s="2">
        <v>79655848.659999996</v>
      </c>
      <c r="L331" s="2"/>
      <c r="M331" t="str">
        <f t="shared" si="21"/>
        <v>insert into business_analytic.report.orenda values(2026, 1, '2021200900', 'Звягель,Фора-159 Київська,6', NULL, 12782720.36, 'TO');</v>
      </c>
      <c r="N331" t="str">
        <f t="shared" si="22"/>
        <v>insert into business_analytic.report.orenda values(2026, 2, '2021200900', 'Звягель,Фора-159 Київська,6', NULL, 11771179.87, 'TO');</v>
      </c>
      <c r="O331" t="str">
        <f t="shared" si="22"/>
        <v>insert into business_analytic.report.orenda values(2026, 3, '2021200900', 'Звягель,Фора-159 Київська,6', NULL, 12752322.66, 'TO');</v>
      </c>
      <c r="P331" t="str">
        <f t="shared" si="23"/>
        <v>insert into business_analytic.report.orenda values(2026, 4, '2021200900', 'Звягель,Фора-159 Київська,6', NULL, 12838693.78, 'TO');</v>
      </c>
      <c r="Q331" t="str">
        <f t="shared" si="24"/>
        <v>insert into business_analytic.report.orenda values(2026, 5, '2021200900', 'Звягель,Фора-159 Київська,6', NULL, 12889962.24, 'TO');</v>
      </c>
    </row>
    <row r="332" spans="1:17" x14ac:dyDescent="0.3">
      <c r="A332" t="s">
        <v>219</v>
      </c>
      <c r="B332" t="s">
        <v>568</v>
      </c>
      <c r="C332" t="s">
        <v>851</v>
      </c>
      <c r="D332" s="2">
        <v>5994547.8899999997</v>
      </c>
      <c r="E332" s="2">
        <v>5427636.5899999999</v>
      </c>
      <c r="F332" s="2">
        <v>6083837.6600000001</v>
      </c>
      <c r="G332" s="2">
        <v>6170211.6100000003</v>
      </c>
      <c r="H332" s="2">
        <v>6238441.8499999996</v>
      </c>
      <c r="I332" s="2">
        <v>5869638.6600000001</v>
      </c>
      <c r="J332" s="2">
        <v>2207580.61</v>
      </c>
      <c r="K332" s="2">
        <v>37991894.869999997</v>
      </c>
      <c r="L332" s="2"/>
      <c r="M332" t="str">
        <f t="shared" si="21"/>
        <v>insert into business_analytic.report.orenda values(2026, 1, '2021201000', 'Звягель,Фора-160 Герасимчука,1', NULL, 5994547.89, 'TO');</v>
      </c>
      <c r="N332" t="str">
        <f t="shared" si="22"/>
        <v>insert into business_analytic.report.orenda values(2026, 2, '2021201000', 'Звягель,Фора-160 Герасимчука,1', NULL, 5427636.59, 'TO');</v>
      </c>
      <c r="O332" t="str">
        <f t="shared" si="22"/>
        <v>insert into business_analytic.report.orenda values(2026, 3, '2021201000', 'Звягель,Фора-160 Герасимчука,1', NULL, 6083837.66, 'TO');</v>
      </c>
      <c r="P332" t="str">
        <f t="shared" si="23"/>
        <v>insert into business_analytic.report.orenda values(2026, 4, '2021201000', 'Звягель,Фора-160 Герасимчука,1', NULL, 6170211.61, 'TO');</v>
      </c>
      <c r="Q332" t="str">
        <f t="shared" si="24"/>
        <v>insert into business_analytic.report.orenda values(2026, 5, '2021201000', 'Звягель,Фора-160 Герасимчука,1', NULL, 6238441.85, 'TO');</v>
      </c>
    </row>
    <row r="333" spans="1:17" x14ac:dyDescent="0.3">
      <c r="A333" t="s">
        <v>220</v>
      </c>
      <c r="B333" t="s">
        <v>569</v>
      </c>
      <c r="C333" t="s">
        <v>852</v>
      </c>
      <c r="D333" s="2">
        <v>15162772.169999998</v>
      </c>
      <c r="E333" s="2">
        <v>13756007.75</v>
      </c>
      <c r="F333" s="2">
        <v>14949973.029999999</v>
      </c>
      <c r="G333" s="2">
        <v>15901818.239999998</v>
      </c>
      <c r="H333" s="2">
        <v>16116506.529999997</v>
      </c>
      <c r="I333" s="2">
        <v>15899030.299999999</v>
      </c>
      <c r="J333" s="2">
        <v>6355182.1699999999</v>
      </c>
      <c r="K333" s="2">
        <v>98141290.189999998</v>
      </c>
      <c r="L333" s="2"/>
      <c r="M333" t="str">
        <f t="shared" si="21"/>
        <v>insert into business_analytic.report.orenda values(2026, 1, '2021201300', 'Овруч,Фора-385 Богуна,8В', NULL, 15162772.17, 'TO');</v>
      </c>
      <c r="N333" t="str">
        <f t="shared" si="22"/>
        <v>insert into business_analytic.report.orenda values(2026, 2, '2021201300', 'Овруч,Фора-385 Богуна,8В', NULL, 13756007.75, 'TO');</v>
      </c>
      <c r="O333" t="str">
        <f t="shared" si="22"/>
        <v>insert into business_analytic.report.orenda values(2026, 3, '2021201300', 'Овруч,Фора-385 Богуна,8В', NULL, 14949973.03, 'TO');</v>
      </c>
      <c r="P333" t="str">
        <f t="shared" si="23"/>
        <v>insert into business_analytic.report.orenda values(2026, 4, '2021201300', 'Овруч,Фора-385 Богуна,8В', NULL, 15901818.24, 'TO');</v>
      </c>
      <c r="Q333" t="str">
        <f t="shared" si="24"/>
        <v>insert into business_analytic.report.orenda values(2026, 5, '2021201300', 'Овруч,Фора-385 Богуна,8В', NULL, 16116506.53, 'TO');</v>
      </c>
    </row>
    <row r="334" spans="1:17" x14ac:dyDescent="0.3">
      <c r="A334" t="s">
        <v>68</v>
      </c>
      <c r="B334" t="s">
        <v>570</v>
      </c>
      <c r="C334" t="s">
        <v>853</v>
      </c>
      <c r="D334" s="2">
        <v>16964343.629999999</v>
      </c>
      <c r="E334" s="2">
        <v>14885866.689999999</v>
      </c>
      <c r="F334" s="2">
        <v>17175400.52</v>
      </c>
      <c r="G334" s="2">
        <v>18315662.629999999</v>
      </c>
      <c r="H334" s="2">
        <v>20204088.330000002</v>
      </c>
      <c r="I334" s="2">
        <v>20479717.560000002</v>
      </c>
      <c r="J334" s="2">
        <v>8488482.8399999999</v>
      </c>
      <c r="K334" s="2">
        <v>116513562.2</v>
      </c>
      <c r="L334" s="2"/>
      <c r="M334" t="str">
        <f t="shared" si="21"/>
        <v>insert into business_analytic.report.orenda values(2026, 1, '2021201400', 'Брусилів,Фора-390 Іларіона,20', NULL, 16964343.63, 'TO');</v>
      </c>
      <c r="N334" t="str">
        <f t="shared" si="22"/>
        <v>insert into business_analytic.report.orenda values(2026, 2, '2021201400', 'Брусилів,Фора-390 Іларіона,20', NULL, 14885866.69, 'TO');</v>
      </c>
      <c r="O334" t="str">
        <f t="shared" si="22"/>
        <v>insert into business_analytic.report.orenda values(2026, 3, '2021201400', 'Брусилів,Фора-390 Іларіона,20', NULL, 17175400.52, 'TO');</v>
      </c>
      <c r="P334" t="str">
        <f t="shared" si="23"/>
        <v>insert into business_analytic.report.orenda values(2026, 4, '2021201400', 'Брусилів,Фора-390 Іларіона,20', NULL, 18315662.63, 'TO');</v>
      </c>
      <c r="Q334" t="str">
        <f t="shared" si="24"/>
        <v>insert into business_analytic.report.orenda values(2026, 5, '2021201400', 'Брусилів,Фора-390 Іларіона,20', NULL, 20204088.33, 'TO');</v>
      </c>
    </row>
    <row r="335" spans="1:17" x14ac:dyDescent="0.3">
      <c r="A335" t="s">
        <v>69</v>
      </c>
      <c r="B335" t="s">
        <v>571</v>
      </c>
      <c r="C335" t="s">
        <v>854</v>
      </c>
      <c r="D335" s="2">
        <v>13562501.929999998</v>
      </c>
      <c r="E335" s="2">
        <v>12048999.99</v>
      </c>
      <c r="F335" s="2">
        <v>13456891.43</v>
      </c>
      <c r="G335" s="2">
        <v>14294463.469999999</v>
      </c>
      <c r="H335" s="2">
        <v>15363613.009999998</v>
      </c>
      <c r="I335" s="2">
        <v>15514808.269999998</v>
      </c>
      <c r="J335" s="2">
        <v>6294908.5300000003</v>
      </c>
      <c r="K335" s="2">
        <v>90536186.629999995</v>
      </c>
      <c r="L335" s="2"/>
      <c r="M335" t="str">
        <f t="shared" si="21"/>
        <v>insert into business_analytic.report.orenda values(2026, 1, '2021201500', 'Попільня,Фора-395 Шайдюка,5А', NULL, 13562501.93, 'TO');</v>
      </c>
      <c r="N335" t="str">
        <f t="shared" si="22"/>
        <v>insert into business_analytic.report.orenda values(2026, 2, '2021201500', 'Попільня,Фора-395 Шайдюка,5А', NULL, 12048999.99, 'TO');</v>
      </c>
      <c r="O335" t="str">
        <f t="shared" si="22"/>
        <v>insert into business_analytic.report.orenda values(2026, 3, '2021201500', 'Попільня,Фора-395 Шайдюка,5А', NULL, 13456891.43, 'TO');</v>
      </c>
      <c r="P335" t="str">
        <f t="shared" si="23"/>
        <v>insert into business_analytic.report.orenda values(2026, 4, '2021201500', 'Попільня,Фора-395 Шайдюка,5А', NULL, 14294463.47, 'TO');</v>
      </c>
      <c r="Q335" t="str">
        <f t="shared" si="24"/>
        <v>insert into business_analytic.report.orenda values(2026, 5, '2021201500', 'Попільня,Фора-395 Шайдюка,5А', NULL, 15363613.01, 'TO');</v>
      </c>
    </row>
    <row r="336" spans="1:17" x14ac:dyDescent="0.3">
      <c r="A336" t="s">
        <v>70</v>
      </c>
      <c r="B336" t="s">
        <v>572</v>
      </c>
      <c r="C336" t="s">
        <v>855</v>
      </c>
      <c r="D336" s="2">
        <v>15150279.59</v>
      </c>
      <c r="E336" s="2">
        <v>14940675.229999999</v>
      </c>
      <c r="F336" s="2">
        <v>17207843.68</v>
      </c>
      <c r="G336" s="2">
        <v>17152759.959999997</v>
      </c>
      <c r="H336" s="2">
        <v>18167868.399999995</v>
      </c>
      <c r="I336" s="2">
        <v>16745922.93</v>
      </c>
      <c r="J336" s="2">
        <v>5936075.7599999998</v>
      </c>
      <c r="K336" s="2">
        <v>105301425.54999998</v>
      </c>
      <c r="L336" s="2"/>
      <c r="M336" t="str">
        <f t="shared" si="21"/>
        <v>insert into business_analytic.report.orenda values(2026, 1, '2021201600', 'Житомир,Фора-414 Лятошинського,2', NULL, 15150279.59, 'TO');</v>
      </c>
      <c r="N336" t="str">
        <f t="shared" si="22"/>
        <v>insert into business_analytic.report.orenda values(2026, 2, '2021201600', 'Житомир,Фора-414 Лятошинського,2', NULL, 14940675.23, 'TO');</v>
      </c>
      <c r="O336" t="str">
        <f t="shared" si="22"/>
        <v>insert into business_analytic.report.orenda values(2026, 3, '2021201600', 'Житомир,Фора-414 Лятошинського,2', NULL, 17207843.68, 'TO');</v>
      </c>
      <c r="P336" t="str">
        <f t="shared" si="23"/>
        <v>insert into business_analytic.report.orenda values(2026, 4, '2021201600', 'Житомир,Фора-414 Лятошинського,2', NULL, 17152759.96, 'TO');</v>
      </c>
      <c r="Q336" t="str">
        <f t="shared" si="24"/>
        <v>insert into business_analytic.report.orenda values(2026, 5, '2021201600', 'Житомир,Фора-414 Лятошинського,2', NULL, 18167868.4, 'TO');</v>
      </c>
    </row>
    <row r="337" spans="1:17" x14ac:dyDescent="0.3">
      <c r="A337" t="s">
        <v>71</v>
      </c>
      <c r="B337" t="s">
        <v>573</v>
      </c>
      <c r="C337" t="s">
        <v>856</v>
      </c>
      <c r="D337" s="2">
        <v>11931092.27</v>
      </c>
      <c r="E337" s="2">
        <v>10709385.26</v>
      </c>
      <c r="F337" s="2">
        <v>12152912.700000001</v>
      </c>
      <c r="G337" s="2">
        <v>11861967.01</v>
      </c>
      <c r="H337" s="2">
        <v>12075883.99</v>
      </c>
      <c r="I337" s="2">
        <v>11251971.98</v>
      </c>
      <c r="J337" s="2">
        <v>4205682.53</v>
      </c>
      <c r="K337" s="2">
        <v>74188895.74000001</v>
      </c>
      <c r="L337" s="2"/>
      <c r="M337" t="str">
        <f t="shared" si="21"/>
        <v>insert into business_analytic.report.orenda values(2026, 1, '2021201700', 'Житомир,Фора-468 Кибальчича,9', NULL, 11931092.27, 'TO');</v>
      </c>
      <c r="N337" t="str">
        <f t="shared" si="22"/>
        <v>insert into business_analytic.report.orenda values(2026, 2, '2021201700', 'Житомир,Фора-468 Кибальчича,9', NULL, 10709385.26, 'TO');</v>
      </c>
      <c r="O337" t="str">
        <f t="shared" si="22"/>
        <v>insert into business_analytic.report.orenda values(2026, 3, '2021201700', 'Житомир,Фора-468 Кибальчича,9', NULL, 12152912.7, 'TO');</v>
      </c>
      <c r="P337" t="str">
        <f t="shared" si="23"/>
        <v>insert into business_analytic.report.orenda values(2026, 4, '2021201700', 'Житомир,Фора-468 Кибальчича,9', NULL, 11861967.01, 'TO');</v>
      </c>
      <c r="Q337" t="str">
        <f t="shared" si="24"/>
        <v>insert into business_analytic.report.orenda values(2026, 5, '2021201700', 'Житомир,Фора-468 Кибальчича,9', NULL, 12075883.99, 'TO');</v>
      </c>
    </row>
    <row r="338" spans="1:17" x14ac:dyDescent="0.3">
      <c r="A338" t="s">
        <v>221</v>
      </c>
      <c r="B338" t="s">
        <v>574</v>
      </c>
      <c r="C338" t="s">
        <v>857</v>
      </c>
      <c r="D338" s="2">
        <v>12527964.629999999</v>
      </c>
      <c r="E338" s="2">
        <v>11571843.859999999</v>
      </c>
      <c r="F338" s="2">
        <v>12577668.489999998</v>
      </c>
      <c r="G338" s="2">
        <v>12547988.02</v>
      </c>
      <c r="H338" s="2">
        <v>13052371.25</v>
      </c>
      <c r="I338" s="2">
        <v>12551351.58</v>
      </c>
      <c r="J338" s="2">
        <v>4772863.37</v>
      </c>
      <c r="K338" s="2">
        <v>79602051.199999988</v>
      </c>
      <c r="L338" s="2"/>
      <c r="M338" t="str">
        <f t="shared" si="21"/>
        <v>insert into business_analytic.report.orenda values(2026, 1, '2021201800', 'Бердичів,Фора-473 Європейська, 5/7', NULL, 12527964.63, 'TO');</v>
      </c>
      <c r="N338" t="str">
        <f t="shared" si="22"/>
        <v>insert into business_analytic.report.orenda values(2026, 2, '2021201800', 'Бердичів,Фора-473 Європейська, 5/7', NULL, 11571843.86, 'TO');</v>
      </c>
      <c r="O338" t="str">
        <f t="shared" si="22"/>
        <v>insert into business_analytic.report.orenda values(2026, 3, '2021201800', 'Бердичів,Фора-473 Європейська, 5/7', NULL, 12577668.49, 'TO');</v>
      </c>
      <c r="P338" t="str">
        <f t="shared" si="23"/>
        <v>insert into business_analytic.report.orenda values(2026, 4, '2021201800', 'Бердичів,Фора-473 Європейська, 5/7', NULL, 12547988.02, 'TO');</v>
      </c>
      <c r="Q338" t="str">
        <f t="shared" si="24"/>
        <v>insert into business_analytic.report.orenda values(2026, 5, '2021201800', 'Бердичів,Фора-473 Європейська, 5/7', NULL, 13052371.25, 'TO');</v>
      </c>
    </row>
    <row r="339" spans="1:17" x14ac:dyDescent="0.3">
      <c r="A339" t="s">
        <v>72</v>
      </c>
      <c r="B339" t="s">
        <v>575</v>
      </c>
      <c r="C339" t="s">
        <v>858</v>
      </c>
      <c r="D339" s="2">
        <v>10629874.299999999</v>
      </c>
      <c r="E339" s="2">
        <v>9495343.4299999997</v>
      </c>
      <c r="F339" s="2">
        <v>11240640.34</v>
      </c>
      <c r="G339" s="2">
        <v>12366250.439999999</v>
      </c>
      <c r="H339" s="2">
        <v>12502699.949999999</v>
      </c>
      <c r="I339" s="2">
        <v>12697792.52</v>
      </c>
      <c r="J339" s="2">
        <v>4930267.92</v>
      </c>
      <c r="K339" s="2">
        <v>73862868.900000006</v>
      </c>
      <c r="L339" s="2"/>
      <c r="M339" t="str">
        <f t="shared" si="21"/>
        <v>insert into business_analytic.report.orenda values(2026, 1, '2021201900', 'Чуднів,Фора-494 Героїв Майдану,156', NULL, 10629874.3, 'TO');</v>
      </c>
      <c r="N339" t="str">
        <f t="shared" si="22"/>
        <v>insert into business_analytic.report.orenda values(2026, 2, '2021201900', 'Чуднів,Фора-494 Героїв Майдану,156', NULL, 9495343.43, 'TO');</v>
      </c>
      <c r="O339" t="str">
        <f t="shared" si="22"/>
        <v>insert into business_analytic.report.orenda values(2026, 3, '2021201900', 'Чуднів,Фора-494 Героїв Майдану,156', NULL, 11240640.34, 'TO');</v>
      </c>
      <c r="P339" t="str">
        <f t="shared" si="23"/>
        <v>insert into business_analytic.report.orenda values(2026, 4, '2021201900', 'Чуднів,Фора-494 Героїв Майдану,156', NULL, 12366250.44, 'TO');</v>
      </c>
      <c r="Q339" t="str">
        <f t="shared" si="24"/>
        <v>insert into business_analytic.report.orenda values(2026, 5, '2021201900', 'Чуднів,Фора-494 Героїв Майдану,156', NULL, 12502699.95, 'TO');</v>
      </c>
    </row>
    <row r="340" spans="1:17" x14ac:dyDescent="0.3">
      <c r="A340" t="s">
        <v>73</v>
      </c>
      <c r="B340" t="s">
        <v>576</v>
      </c>
      <c r="C340" t="s">
        <v>859</v>
      </c>
      <c r="D340" s="2">
        <v>9280508.1399999987</v>
      </c>
      <c r="E340" s="2">
        <v>8968549.4700000007</v>
      </c>
      <c r="F340" s="2">
        <v>9731758.5399999991</v>
      </c>
      <c r="G340" s="2">
        <v>9362735.9199999999</v>
      </c>
      <c r="H340" s="2">
        <v>9664190.2700000014</v>
      </c>
      <c r="I340" s="2">
        <v>8585428.9800000004</v>
      </c>
      <c r="J340" s="2">
        <v>3274517.69</v>
      </c>
      <c r="K340" s="2">
        <v>58867689.009999998</v>
      </c>
      <c r="L340" s="5"/>
      <c r="M340" t="str">
        <f t="shared" si="21"/>
        <v>insert into business_analytic.report.orenda values(2026, 1, '2021202000', 'Житомир,Фора-498 Сльоти,60а', NULL, 9280508.14, 'TO');</v>
      </c>
      <c r="N340" t="str">
        <f t="shared" si="22"/>
        <v>insert into business_analytic.report.orenda values(2026, 2, '2021202000', 'Житомир,Фора-498 Сльоти,60а', NULL, 8968549.47, 'TO');</v>
      </c>
      <c r="O340" t="str">
        <f t="shared" si="22"/>
        <v>insert into business_analytic.report.orenda values(2026, 3, '2021202000', 'Житомир,Фора-498 Сльоти,60а', NULL, 9731758.54, 'TO');</v>
      </c>
      <c r="P340" t="str">
        <f t="shared" si="23"/>
        <v>insert into business_analytic.report.orenda values(2026, 4, '2021202000', 'Житомир,Фора-498 Сльоти,60а', NULL, 9362735.92, 'TO');</v>
      </c>
      <c r="Q340" t="str">
        <f t="shared" si="24"/>
        <v>insert into business_analytic.report.orenda values(2026, 5, '2021202000', 'Житомир,Фора-498 Сльоти,60а', NULL, 9664190.27, 'TO');</v>
      </c>
    </row>
    <row r="341" spans="1:17" x14ac:dyDescent="0.3">
      <c r="A341" t="s">
        <v>222</v>
      </c>
      <c r="B341" t="s">
        <v>577</v>
      </c>
      <c r="C341" t="s">
        <v>860</v>
      </c>
      <c r="D341" s="2">
        <v>8112038.7899999991</v>
      </c>
      <c r="E341" s="2">
        <v>8137333.459999999</v>
      </c>
      <c r="F341" s="2">
        <v>9249079.4499999993</v>
      </c>
      <c r="G341" s="2">
        <v>9236503.9900000002</v>
      </c>
      <c r="H341" s="2">
        <v>9757431.629999999</v>
      </c>
      <c r="I341" s="2">
        <v>9280328.3599999994</v>
      </c>
      <c r="J341" s="2">
        <v>3513504.1599999997</v>
      </c>
      <c r="K341" s="2">
        <v>57286219.840000004</v>
      </c>
      <c r="L341" s="2"/>
      <c r="M341" t="str">
        <f t="shared" si="21"/>
        <v>insert into business_analytic.report.orenda values(2026, 1, '2021202100', 'Коростень,Фора-513 Базарна площа,18В', NULL, 8112038.79, 'TO');</v>
      </c>
      <c r="N341" t="str">
        <f t="shared" si="22"/>
        <v>insert into business_analytic.report.orenda values(2026, 2, '2021202100', 'Коростень,Фора-513 Базарна площа,18В', NULL, 8137333.46, 'TO');</v>
      </c>
      <c r="O341" t="str">
        <f t="shared" si="22"/>
        <v>insert into business_analytic.report.orenda values(2026, 3, '2021202100', 'Коростень,Фора-513 Базарна площа,18В', NULL, 9249079.45, 'TO');</v>
      </c>
      <c r="P341" t="str">
        <f t="shared" si="23"/>
        <v>insert into business_analytic.report.orenda values(2026, 4, '2021202100', 'Коростень,Фора-513 Базарна площа,18В', NULL, 9236503.99, 'TO');</v>
      </c>
      <c r="Q341" t="str">
        <f t="shared" si="24"/>
        <v>insert into business_analytic.report.orenda values(2026, 5, '2021202100', 'Коростень,Фора-513 Базарна площа,18В', NULL, 9757431.63, 'TO');</v>
      </c>
    </row>
    <row r="342" spans="1:17" x14ac:dyDescent="0.3">
      <c r="A342" t="s">
        <v>74</v>
      </c>
      <c r="B342" t="s">
        <v>578</v>
      </c>
      <c r="C342" t="s">
        <v>429</v>
      </c>
      <c r="D342" s="2">
        <v>9608601.5500000007</v>
      </c>
      <c r="E342" s="2">
        <v>8331554.8499999996</v>
      </c>
      <c r="F342" s="2">
        <v>9262853.2799999993</v>
      </c>
      <c r="G342" s="2">
        <v>10118314.060000001</v>
      </c>
      <c r="H342" s="2">
        <v>10789653.529999999</v>
      </c>
      <c r="I342" s="2">
        <v>11074215.5</v>
      </c>
      <c r="J342" s="2">
        <v>4243555.9800000004</v>
      </c>
      <c r="K342" s="2">
        <v>63428748.75</v>
      </c>
      <c r="L342" s="2"/>
      <c r="M342" t="str">
        <f t="shared" si="21"/>
        <v>insert into business_analytic.report.orenda values(2026, 1, '2021202300', 'Ружин,Фора-530 Незалежності,9/1', NULL, 9608601.55, 'TO');</v>
      </c>
      <c r="N342" t="str">
        <f t="shared" si="22"/>
        <v>insert into business_analytic.report.orenda values(2026, 2, '2021202300', 'Ружин,Фора-530 Незалежності,9/1', NULL, 8331554.85, 'TO');</v>
      </c>
      <c r="O342" t="str">
        <f t="shared" si="22"/>
        <v>insert into business_analytic.report.orenda values(2026, 3, '2021202300', 'Ружин,Фора-530 Незалежності,9/1', NULL, 9262853.28, 'TO');</v>
      </c>
      <c r="P342" t="str">
        <f t="shared" si="23"/>
        <v>insert into business_analytic.report.orenda values(2026, 4, '2021202300', 'Ружин,Фора-530 Незалежності,9/1', NULL, 10118314.06, 'TO');</v>
      </c>
      <c r="Q342" t="str">
        <f t="shared" si="24"/>
        <v>insert into business_analytic.report.orenda values(2026, 5, '2021202300', 'Ружин,Фора-530 Незалежності,9/1', NULL, 10789653.53, 'TO');</v>
      </c>
    </row>
    <row r="343" spans="1:17" x14ac:dyDescent="0.3">
      <c r="A343" s="3" t="s">
        <v>1222</v>
      </c>
      <c r="B343" s="3" t="s">
        <v>1223</v>
      </c>
      <c r="C343" s="3"/>
      <c r="D343" s="5"/>
      <c r="E343" s="5"/>
      <c r="F343" s="5"/>
      <c r="G343" s="5">
        <v>4367006.1099999994</v>
      </c>
      <c r="H343" s="5">
        <v>8314351.4099999992</v>
      </c>
      <c r="I343" s="5">
        <v>8627101.8600000013</v>
      </c>
      <c r="J343" s="5">
        <v>3501746.68</v>
      </c>
      <c r="K343" s="5">
        <v>24810206.059999999</v>
      </c>
      <c r="L343" s="2"/>
      <c r="M343" t="str">
        <f t="shared" si="21"/>
        <v>insert into business_analytic.report.orenda values(2026, 1, '2021202500', 'Станишівська,Фора-566 Комплекс будівель,38', NULL, 0, 'TO');</v>
      </c>
      <c r="N343" t="str">
        <f t="shared" si="22"/>
        <v>insert into business_analytic.report.orenda values(2026, 2, '2021202500', 'Станишівська,Фора-566 Комплекс будівель,38', NULL, 0, 'TO');</v>
      </c>
      <c r="O343" t="str">
        <f t="shared" si="22"/>
        <v>insert into business_analytic.report.orenda values(2026, 3, '2021202500', 'Станишівська,Фора-566 Комплекс будівель,38', NULL, 0, 'TO');</v>
      </c>
      <c r="P343" t="str">
        <f t="shared" si="23"/>
        <v>insert into business_analytic.report.orenda values(2026, 4, '2021202500', 'Станишівська,Фора-566 Комплекс будівель,38', NULL, 4367006.11, 'TO');</v>
      </c>
      <c r="Q343" t="str">
        <f t="shared" si="24"/>
        <v>insert into business_analytic.report.orenda values(2026, 5, '2021202500', 'Станишівська,Фора-566 Комплекс будівель,38', NULL, 8314351.41, 'TO');</v>
      </c>
    </row>
    <row r="344" spans="1:17" x14ac:dyDescent="0.3">
      <c r="A344" t="s">
        <v>416</v>
      </c>
      <c r="B344" t="s">
        <v>579</v>
      </c>
      <c r="C344" t="s">
        <v>861</v>
      </c>
      <c r="D344" s="2"/>
      <c r="E344" s="2">
        <v>11567380.619999999</v>
      </c>
      <c r="F344" s="2">
        <v>21969905.319999997</v>
      </c>
      <c r="G344" s="2">
        <v>21677443.800000001</v>
      </c>
      <c r="H344" s="2">
        <v>22428554.219999999</v>
      </c>
      <c r="I344" s="2">
        <v>21102249.740000002</v>
      </c>
      <c r="J344" s="2">
        <v>7375758.2199999997</v>
      </c>
      <c r="K344" s="2">
        <v>106121291.92</v>
      </c>
      <c r="L344" s="5"/>
      <c r="M344" t="str">
        <f t="shared" si="21"/>
        <v>insert into business_analytic.report.orenda values(2026, 1, '2021202600', 'Боярка,Фора-549 Гоголя,50Б', NULL, 0, 'TO');</v>
      </c>
      <c r="N344" t="str">
        <f t="shared" si="22"/>
        <v>insert into business_analytic.report.orenda values(2026, 2, '2021202600', 'Боярка,Фора-549 Гоголя,50Б', NULL, 11567380.62, 'TO');</v>
      </c>
      <c r="O344" t="str">
        <f t="shared" si="22"/>
        <v>insert into business_analytic.report.orenda values(2026, 3, '2021202600', 'Боярка,Фора-549 Гоголя,50Б', NULL, 21969905.32, 'TO');</v>
      </c>
      <c r="P344" t="str">
        <f t="shared" si="23"/>
        <v>insert into business_analytic.report.orenda values(2026, 4, '2021202600', 'Боярка,Фора-549 Гоголя,50Б', NULL, 21677443.8, 'TO');</v>
      </c>
      <c r="Q344" t="str">
        <f t="shared" si="24"/>
        <v>insert into business_analytic.report.orenda values(2026, 5, '2021202600', 'Боярка,Фора-549 Гоголя,50Б', NULL, 22428554.22, 'TO');</v>
      </c>
    </row>
    <row r="345" spans="1:17" x14ac:dyDescent="0.3">
      <c r="A345" t="s">
        <v>75</v>
      </c>
      <c r="B345" t="s">
        <v>580</v>
      </c>
      <c r="C345" t="s">
        <v>862</v>
      </c>
      <c r="D345" s="2">
        <v>15449110.349999998</v>
      </c>
      <c r="E345" s="2">
        <v>14757972.060000001</v>
      </c>
      <c r="F345" s="2">
        <v>16419170.109999998</v>
      </c>
      <c r="G345" s="2">
        <v>18538290.609999999</v>
      </c>
      <c r="H345" s="2">
        <v>23869608.639999997</v>
      </c>
      <c r="I345" s="2">
        <v>22168536.159999996</v>
      </c>
      <c r="J345" s="2">
        <v>6736642.8499999996</v>
      </c>
      <c r="K345" s="2">
        <v>117939330.78</v>
      </c>
      <c r="L345" s="2"/>
      <c r="M345" t="str">
        <f t="shared" si="21"/>
        <v>insert into business_analytic.report.orenda values(2026, 1, '2021202800', 'Козин,Фора-555 Партизанська,2Д', NULL, 15449110.35, 'TO');</v>
      </c>
      <c r="N345" t="str">
        <f t="shared" si="22"/>
        <v>insert into business_analytic.report.orenda values(2026, 2, '2021202800', 'Козин,Фора-555 Партизанська,2Д', NULL, 14757972.06, 'TO');</v>
      </c>
      <c r="O345" t="str">
        <f t="shared" si="22"/>
        <v>insert into business_analytic.report.orenda values(2026, 3, '2021202800', 'Козин,Фора-555 Партизанська,2Д', NULL, 16419170.11, 'TO');</v>
      </c>
      <c r="P345" t="str">
        <f t="shared" si="23"/>
        <v>insert into business_analytic.report.orenda values(2026, 4, '2021202800', 'Козин,Фора-555 Партизанська,2Д', NULL, 18538290.61, 'TO');</v>
      </c>
      <c r="Q345" t="str">
        <f t="shared" si="24"/>
        <v>insert into business_analytic.report.orenda values(2026, 5, '2021202800', 'Козин,Фора-555 Партизанська,2Д', NULL, 23869608.64, 'TO');</v>
      </c>
    </row>
    <row r="346" spans="1:17" x14ac:dyDescent="0.3">
      <c r="A346" t="s">
        <v>76</v>
      </c>
      <c r="B346" t="s">
        <v>581</v>
      </c>
      <c r="C346" t="s">
        <v>430</v>
      </c>
      <c r="D346" s="2">
        <v>8281969.0700000003</v>
      </c>
      <c r="E346" s="2">
        <v>7864113.129999999</v>
      </c>
      <c r="F346" s="2">
        <v>8673056.5500000007</v>
      </c>
      <c r="G346" s="2">
        <v>8732210.540000001</v>
      </c>
      <c r="H346" s="2">
        <v>8875027.25</v>
      </c>
      <c r="I346" s="2">
        <v>8453565.2700000014</v>
      </c>
      <c r="J346" s="2">
        <v>3185825.57</v>
      </c>
      <c r="K346" s="2">
        <v>54065767.379999995</v>
      </c>
      <c r="L346" s="2"/>
      <c r="M346" t="str">
        <f t="shared" si="21"/>
        <v>insert into business_analytic.report.orenda values(2026, 1, '2021202900', 'Бердичів,Фора-553 Вінницька,71', NULL, 8281969.07, 'TO');</v>
      </c>
      <c r="N346" t="str">
        <f t="shared" si="22"/>
        <v>insert into business_analytic.report.orenda values(2026, 2, '2021202900', 'Бердичів,Фора-553 Вінницька,71', NULL, 7864113.13, 'TO');</v>
      </c>
      <c r="O346" t="str">
        <f t="shared" si="22"/>
        <v>insert into business_analytic.report.orenda values(2026, 3, '2021202900', 'Бердичів,Фора-553 Вінницька,71', NULL, 8673056.55, 'TO');</v>
      </c>
      <c r="P346" t="str">
        <f t="shared" si="23"/>
        <v>insert into business_analytic.report.orenda values(2026, 4, '2021202900', 'Бердичів,Фора-553 Вінницька,71', NULL, 8732210.54, 'TO');</v>
      </c>
      <c r="Q346" t="str">
        <f t="shared" si="24"/>
        <v>insert into business_analytic.report.orenda values(2026, 5, '2021202900', 'Бердичів,Фора-553 Вінницька,71', NULL, 8875027.25, 'TO');</v>
      </c>
    </row>
    <row r="347" spans="1:17" x14ac:dyDescent="0.3">
      <c r="A347" s="3" t="s">
        <v>1230</v>
      </c>
      <c r="B347" s="3" t="s">
        <v>1231</v>
      </c>
      <c r="C347" s="3"/>
      <c r="D347" s="5"/>
      <c r="E347" s="5"/>
      <c r="F347" s="5"/>
      <c r="G347" s="5"/>
      <c r="H347" s="5">
        <v>8778219.9000000004</v>
      </c>
      <c r="I347" s="5">
        <v>12506677.999999998</v>
      </c>
      <c r="J347" s="5">
        <v>4529062.72</v>
      </c>
      <c r="K347" s="5">
        <v>25813960.619999997</v>
      </c>
      <c r="L347" s="2"/>
      <c r="M347" t="str">
        <f t="shared" si="21"/>
        <v>insert into business_analytic.report.orenda values(2026, 1, '2021203000', 'Житомир,Фора-585 Чуднівська,94', NULL, 0, 'TO');</v>
      </c>
      <c r="N347" t="str">
        <f t="shared" si="22"/>
        <v>insert into business_analytic.report.orenda values(2026, 2, '2021203000', 'Житомир,Фора-585 Чуднівська,94', NULL, 0, 'TO');</v>
      </c>
      <c r="O347" t="str">
        <f t="shared" si="22"/>
        <v>insert into business_analytic.report.orenda values(2026, 3, '2021203000', 'Житомир,Фора-585 Чуднівська,94', NULL, 0, 'TO');</v>
      </c>
      <c r="P347" t="str">
        <f t="shared" si="23"/>
        <v>insert into business_analytic.report.orenda values(2026, 4, '2021203000', 'Житомир,Фора-585 Чуднівська,94', NULL, 0, 'TO');</v>
      </c>
      <c r="Q347" t="str">
        <f t="shared" si="24"/>
        <v>insert into business_analytic.report.orenda values(2026, 5, '2021203000', 'Житомир,Фора-585 Чуднівська,94', NULL, 8778219.9, 'TO');</v>
      </c>
    </row>
    <row r="348" spans="1:17" x14ac:dyDescent="0.3">
      <c r="A348" t="s">
        <v>223</v>
      </c>
      <c r="B348" t="s">
        <v>671</v>
      </c>
      <c r="C348" t="s">
        <v>863</v>
      </c>
      <c r="D348" s="2">
        <v>9456317.8900000006</v>
      </c>
      <c r="E348" s="2">
        <v>9205821.9899999984</v>
      </c>
      <c r="F348" s="2">
        <v>10088793.929999998</v>
      </c>
      <c r="G348" s="2">
        <v>10002420.77</v>
      </c>
      <c r="H348" s="2">
        <v>10381784.860000001</v>
      </c>
      <c r="I348" s="2">
        <v>9959373.8800000008</v>
      </c>
      <c r="J348" s="2">
        <v>3617885.08</v>
      </c>
      <c r="K348" s="2">
        <v>62712398.400000006</v>
      </c>
      <c r="L348" s="2"/>
      <c r="M348" t="str">
        <f t="shared" si="21"/>
        <v>insert into business_analytic.report.orenda values(2026, 1, '2021300400', 'Ніжин,Фора-096 Прощенка,12', NULL, 9456317.89, 'TO');</v>
      </c>
      <c r="N348" t="str">
        <f t="shared" si="22"/>
        <v>insert into business_analytic.report.orenda values(2026, 2, '2021300400', 'Ніжин,Фора-096 Прощенка,12', NULL, 9205821.99, 'TO');</v>
      </c>
      <c r="O348" t="str">
        <f t="shared" si="22"/>
        <v>insert into business_analytic.report.orenda values(2026, 3, '2021300400', 'Ніжин,Фора-096 Прощенка,12', NULL, 10088793.93, 'TO');</v>
      </c>
      <c r="P348" t="str">
        <f t="shared" si="23"/>
        <v>insert into business_analytic.report.orenda values(2026, 4, '2021300400', 'Ніжин,Фора-096 Прощенка,12', NULL, 10002420.77, 'TO');</v>
      </c>
      <c r="Q348" t="str">
        <f t="shared" si="24"/>
        <v>insert into business_analytic.report.orenda values(2026, 5, '2021300400', 'Ніжин,Фора-096 Прощенка,12', NULL, 10381784.86, 'TO');</v>
      </c>
    </row>
    <row r="349" spans="1:17" x14ac:dyDescent="0.3">
      <c r="A349" t="s">
        <v>224</v>
      </c>
      <c r="B349" t="s">
        <v>582</v>
      </c>
      <c r="C349" t="s">
        <v>864</v>
      </c>
      <c r="D349" s="2">
        <v>11132647.640000001</v>
      </c>
      <c r="E349" s="2">
        <v>9931294.0999999996</v>
      </c>
      <c r="F349" s="2">
        <v>11231986.08</v>
      </c>
      <c r="G349" s="2">
        <v>11797805.98</v>
      </c>
      <c r="H349" s="2">
        <v>12593071.719999999</v>
      </c>
      <c r="I349" s="2">
        <v>12323776.029999999</v>
      </c>
      <c r="J349" s="2">
        <v>4559973.379999999</v>
      </c>
      <c r="K349" s="2">
        <v>73570554.930000007</v>
      </c>
      <c r="L349" s="2"/>
      <c r="M349" t="str">
        <f t="shared" si="21"/>
        <v>insert into business_analytic.report.orenda values(2026, 1, '2021300500', 'Борзна,Фора-100 Шевченка,16', NULL, 11132647.64, 'TO');</v>
      </c>
      <c r="N349" t="str">
        <f t="shared" si="22"/>
        <v>insert into business_analytic.report.orenda values(2026, 2, '2021300500', 'Борзна,Фора-100 Шевченка,16', NULL, 9931294.1, 'TO');</v>
      </c>
      <c r="O349" t="str">
        <f t="shared" si="22"/>
        <v>insert into business_analytic.report.orenda values(2026, 3, '2021300500', 'Борзна,Фора-100 Шевченка,16', NULL, 11231986.08, 'TO');</v>
      </c>
      <c r="P349" t="str">
        <f t="shared" si="23"/>
        <v>insert into business_analytic.report.orenda values(2026, 4, '2021300500', 'Борзна,Фора-100 Шевченка,16', NULL, 11797805.98, 'TO');</v>
      </c>
      <c r="Q349" t="str">
        <f t="shared" si="24"/>
        <v>insert into business_analytic.report.orenda values(2026, 5, '2021300500', 'Борзна,Фора-100 Шевченка,16', NULL, 12593071.72, 'TO');</v>
      </c>
    </row>
    <row r="350" spans="1:17" x14ac:dyDescent="0.3">
      <c r="A350" t="s">
        <v>225</v>
      </c>
      <c r="B350" t="s">
        <v>583</v>
      </c>
      <c r="C350" t="s">
        <v>865</v>
      </c>
      <c r="D350" s="2">
        <v>6797980.8200000003</v>
      </c>
      <c r="E350" s="2">
        <v>6271286.5</v>
      </c>
      <c r="F350" s="2">
        <v>6867659.7200000007</v>
      </c>
      <c r="G350" s="2">
        <v>6885745.4099999992</v>
      </c>
      <c r="H350" s="2">
        <v>7264640.3099999996</v>
      </c>
      <c r="I350" s="2">
        <v>7234574.5399999991</v>
      </c>
      <c r="J350" s="2">
        <v>2727795.3099999996</v>
      </c>
      <c r="K350" s="2">
        <v>44049682.609999999</v>
      </c>
      <c r="L350" s="2"/>
      <c r="M350" t="str">
        <f t="shared" si="21"/>
        <v>insert into business_analytic.report.orenda values(2026, 1, '2021300600', 'Ніжин,Фора-127 Шевченка,20', NULL, 6797980.82, 'TO');</v>
      </c>
      <c r="N350" t="str">
        <f t="shared" si="22"/>
        <v>insert into business_analytic.report.orenda values(2026, 2, '2021300600', 'Ніжин,Фора-127 Шевченка,20', NULL, 6271286.5, 'TO');</v>
      </c>
      <c r="O350" t="str">
        <f t="shared" si="22"/>
        <v>insert into business_analytic.report.orenda values(2026, 3, '2021300600', 'Ніжин,Фора-127 Шевченка,20', NULL, 6867659.72, 'TO');</v>
      </c>
      <c r="P350" t="str">
        <f t="shared" si="23"/>
        <v>insert into business_analytic.report.orenda values(2026, 4, '2021300600', 'Ніжин,Фора-127 Шевченка,20', NULL, 6885745.41, 'TO');</v>
      </c>
      <c r="Q350" t="str">
        <f t="shared" si="24"/>
        <v>insert into business_analytic.report.orenda values(2026, 5, '2021300600', 'Ніжин,Фора-127 Шевченка,20', NULL, 7264640.31, 'TO');</v>
      </c>
    </row>
    <row r="351" spans="1:17" x14ac:dyDescent="0.3">
      <c r="A351" t="s">
        <v>226</v>
      </c>
      <c r="B351" t="s">
        <v>584</v>
      </c>
      <c r="C351" t="s">
        <v>724</v>
      </c>
      <c r="D351" s="2">
        <v>9511347.879999999</v>
      </c>
      <c r="E351" s="2">
        <v>8956434.9900000002</v>
      </c>
      <c r="F351" s="2">
        <v>9798240.2199999988</v>
      </c>
      <c r="G351" s="2">
        <v>9483461.1099999994</v>
      </c>
      <c r="H351" s="2">
        <v>9868948.3899999987</v>
      </c>
      <c r="I351" s="2">
        <v>9741492.0299999993</v>
      </c>
      <c r="J351" s="2">
        <v>3618811.5399999996</v>
      </c>
      <c r="K351" s="2">
        <v>60978736.159999996</v>
      </c>
      <c r="L351" s="2"/>
      <c r="M351" t="str">
        <f t="shared" si="21"/>
        <v>insert into business_analytic.report.orenda values(2026, 1, '2021300700', 'Бахмач,Фора-137 Соборності,62Б', NULL, 9511347.88, 'TO');</v>
      </c>
      <c r="N351" t="str">
        <f t="shared" si="22"/>
        <v>insert into business_analytic.report.orenda values(2026, 2, '2021300700', 'Бахмач,Фора-137 Соборності,62Б', NULL, 8956434.99, 'TO');</v>
      </c>
      <c r="O351" t="str">
        <f t="shared" si="22"/>
        <v>insert into business_analytic.report.orenda values(2026, 3, '2021300700', 'Бахмач,Фора-137 Соборності,62Б', NULL, 9798240.22, 'TO');</v>
      </c>
      <c r="P351" t="str">
        <f t="shared" si="23"/>
        <v>insert into business_analytic.report.orenda values(2026, 4, '2021300700', 'Бахмач,Фора-137 Соборності,62Б', NULL, 9483461.11, 'TO');</v>
      </c>
      <c r="Q351" t="str">
        <f t="shared" si="24"/>
        <v>insert into business_analytic.report.orenda values(2026, 5, '2021300700', 'Бахмач,Фора-137 Соборності,62Б', NULL, 9868948.39, 'TO');</v>
      </c>
    </row>
    <row r="352" spans="1:17" x14ac:dyDescent="0.3">
      <c r="A352" t="s">
        <v>77</v>
      </c>
      <c r="B352" t="s">
        <v>585</v>
      </c>
      <c r="C352" t="s">
        <v>866</v>
      </c>
      <c r="D352" s="2">
        <v>11755402.099999998</v>
      </c>
      <c r="E352" s="2">
        <v>11063301.33</v>
      </c>
      <c r="F352" s="2">
        <v>12712984.24</v>
      </c>
      <c r="G352" s="2">
        <v>13389459.02</v>
      </c>
      <c r="H352" s="2">
        <v>14688247.369999999</v>
      </c>
      <c r="I352" s="2">
        <v>14655784.919999998</v>
      </c>
      <c r="J352" s="2">
        <v>5826992.9999999991</v>
      </c>
      <c r="K352" s="2">
        <v>84092171.979999989</v>
      </c>
      <c r="L352" s="2"/>
      <c r="M352" t="str">
        <f t="shared" si="21"/>
        <v>insert into business_analytic.report.orenda values(2026, 1, '2021300900', 'Козелець,Фора-179 Соборності,53/1', NULL, 11755402.1, 'TO');</v>
      </c>
      <c r="N352" t="str">
        <f t="shared" si="22"/>
        <v>insert into business_analytic.report.orenda values(2026, 2, '2021300900', 'Козелець,Фора-179 Соборності,53/1', NULL, 11063301.33, 'TO');</v>
      </c>
      <c r="O352" t="str">
        <f t="shared" si="22"/>
        <v>insert into business_analytic.report.orenda values(2026, 3, '2021300900', 'Козелець,Фора-179 Соборності,53/1', NULL, 12712984.24, 'TO');</v>
      </c>
      <c r="P352" t="str">
        <f t="shared" si="23"/>
        <v>insert into business_analytic.report.orenda values(2026, 4, '2021300900', 'Козелець,Фора-179 Соборності,53/1', NULL, 13389459.02, 'TO');</v>
      </c>
      <c r="Q352" t="str">
        <f t="shared" si="24"/>
        <v>insert into business_analytic.report.orenda values(2026, 5, '2021300900', 'Козелець,Фора-179 Соборності,53/1', NULL, 14688247.37, 'TO');</v>
      </c>
    </row>
    <row r="353" spans="1:17" x14ac:dyDescent="0.3">
      <c r="A353" t="s">
        <v>227</v>
      </c>
      <c r="B353" t="s">
        <v>654</v>
      </c>
      <c r="C353" t="s">
        <v>867</v>
      </c>
      <c r="D353" s="2">
        <v>14583497.99</v>
      </c>
      <c r="E353" s="2">
        <v>13107917.08</v>
      </c>
      <c r="F353" s="2">
        <v>14619788.799999999</v>
      </c>
      <c r="G353" s="2">
        <v>15890841.02</v>
      </c>
      <c r="H353" s="2">
        <v>16558429.829999998</v>
      </c>
      <c r="I353" s="2">
        <v>16411210.459999999</v>
      </c>
      <c r="J353" s="2">
        <v>6369586.709999999</v>
      </c>
      <c r="K353" s="2">
        <v>97541271.889999986</v>
      </c>
      <c r="L353" s="2"/>
      <c r="M353" t="str">
        <f t="shared" si="21"/>
        <v>insert into business_analytic.report.orenda values(2026, 1, '2021301100', 'Носівка,Фора-235 Центральна,39', NULL, 14583497.99, 'TO');</v>
      </c>
      <c r="N353" t="str">
        <f t="shared" si="22"/>
        <v>insert into business_analytic.report.orenda values(2026, 2, '2021301100', 'Носівка,Фора-235 Центральна,39', NULL, 13107917.08, 'TO');</v>
      </c>
      <c r="O353" t="str">
        <f t="shared" si="22"/>
        <v>insert into business_analytic.report.orenda values(2026, 3, '2021301100', 'Носівка,Фора-235 Центральна,39', NULL, 14619788.8, 'TO');</v>
      </c>
      <c r="P353" t="str">
        <f t="shared" si="23"/>
        <v>insert into business_analytic.report.orenda values(2026, 4, '2021301100', 'Носівка,Фора-235 Центральна,39', NULL, 15890841.02, 'TO');</v>
      </c>
      <c r="Q353" t="str">
        <f t="shared" si="24"/>
        <v>insert into business_analytic.report.orenda values(2026, 5, '2021301100', 'Носівка,Фора-235 Центральна,39', NULL, 16558429.83, 'TO');</v>
      </c>
    </row>
    <row r="354" spans="1:17" x14ac:dyDescent="0.3">
      <c r="A354" t="s">
        <v>78</v>
      </c>
      <c r="B354" t="s">
        <v>586</v>
      </c>
      <c r="C354" t="s">
        <v>868</v>
      </c>
      <c r="D354" s="2">
        <v>10014592.909999998</v>
      </c>
      <c r="E354" s="2">
        <v>9003861.7599999998</v>
      </c>
      <c r="F354" s="2">
        <v>9943414.3099999987</v>
      </c>
      <c r="G354" s="2">
        <v>10859321.08</v>
      </c>
      <c r="H354" s="2">
        <v>11218360.67</v>
      </c>
      <c r="I354" s="2">
        <v>11028780.969999999</v>
      </c>
      <c r="J354" s="2">
        <v>4416421.67</v>
      </c>
      <c r="K354" s="2">
        <v>66484753.36999999</v>
      </c>
      <c r="L354" s="2"/>
      <c r="M354" t="str">
        <f t="shared" si="21"/>
        <v>insert into business_analytic.report.orenda values(2026, 1, '2021301200', 'Бобровиця,Фора-241 Незалежності,40А', NULL, 10014592.91, 'TO');</v>
      </c>
      <c r="N354" t="str">
        <f t="shared" si="22"/>
        <v>insert into business_analytic.report.orenda values(2026, 2, '2021301200', 'Бобровиця,Фора-241 Незалежності,40А', NULL, 9003861.76, 'TO');</v>
      </c>
      <c r="O354" t="str">
        <f t="shared" si="22"/>
        <v>insert into business_analytic.report.orenda values(2026, 3, '2021301200', 'Бобровиця,Фора-241 Незалежності,40А', NULL, 9943414.31, 'TO');</v>
      </c>
      <c r="P354" t="str">
        <f t="shared" si="23"/>
        <v>insert into business_analytic.report.orenda values(2026, 4, '2021301200', 'Бобровиця,Фора-241 Незалежності,40А', NULL, 10859321.08, 'TO');</v>
      </c>
      <c r="Q354" t="str">
        <f t="shared" si="24"/>
        <v>insert into business_analytic.report.orenda values(2026, 5, '2021301200', 'Бобровиця,Фора-241 Незалежності,40А', NULL, 11218360.67, 'TO');</v>
      </c>
    </row>
    <row r="355" spans="1:17" x14ac:dyDescent="0.3">
      <c r="A355" t="s">
        <v>79</v>
      </c>
      <c r="B355" t="s">
        <v>587</v>
      </c>
      <c r="C355" t="s">
        <v>869</v>
      </c>
      <c r="D355" s="2">
        <v>7212524.7400000002</v>
      </c>
      <c r="E355" s="2">
        <v>5660404.7199999997</v>
      </c>
      <c r="F355" s="2">
        <v>7755326.1500000004</v>
      </c>
      <c r="G355" s="2">
        <v>8322630.4699999997</v>
      </c>
      <c r="H355" s="2">
        <v>9305619.7899999991</v>
      </c>
      <c r="I355" s="2">
        <v>9726985.2299999986</v>
      </c>
      <c r="J355" s="2">
        <v>4008493.37</v>
      </c>
      <c r="K355" s="2">
        <v>51991984.469999999</v>
      </c>
      <c r="L355" s="2"/>
      <c r="M355" t="str">
        <f t="shared" si="21"/>
        <v>insert into business_analytic.report.orenda values(2026, 1, '2021301300', 'Городня,Фора-242 Чернігівська,26А', NULL, 7212524.74, 'TO');</v>
      </c>
      <c r="N355" t="str">
        <f t="shared" si="22"/>
        <v>insert into business_analytic.report.orenda values(2026, 2, '2021301300', 'Городня,Фора-242 Чернігівська,26А', NULL, 5660404.72, 'TO');</v>
      </c>
      <c r="O355" t="str">
        <f t="shared" si="22"/>
        <v>insert into business_analytic.report.orenda values(2026, 3, '2021301300', 'Городня,Фора-242 Чернігівська,26А', NULL, 7755326.15, 'TO');</v>
      </c>
      <c r="P355" t="str">
        <f t="shared" si="23"/>
        <v>insert into business_analytic.report.orenda values(2026, 4, '2021301300', 'Городня,Фора-242 Чернігівська,26А', NULL, 8322630.47, 'TO');</v>
      </c>
      <c r="Q355" t="str">
        <f t="shared" si="24"/>
        <v>insert into business_analytic.report.orenda values(2026, 5, '2021301300', 'Городня,Фора-242 Чернігівська,26А', NULL, 9305619.79, 'TO');</v>
      </c>
    </row>
    <row r="356" spans="1:17" x14ac:dyDescent="0.3">
      <c r="A356" t="s">
        <v>80</v>
      </c>
      <c r="B356" t="s">
        <v>588</v>
      </c>
      <c r="C356" t="s">
        <v>870</v>
      </c>
      <c r="D356" s="2">
        <v>10840194.299999999</v>
      </c>
      <c r="E356" s="2">
        <v>10382040.459999999</v>
      </c>
      <c r="F356" s="2">
        <v>11284851.039999999</v>
      </c>
      <c r="G356" s="2">
        <v>11218031.419999998</v>
      </c>
      <c r="H356" s="2">
        <v>11839899.219999999</v>
      </c>
      <c r="I356" s="2">
        <v>11520576.239999998</v>
      </c>
      <c r="J356" s="2">
        <v>4254563.3</v>
      </c>
      <c r="K356" s="2">
        <v>71340155.979999989</v>
      </c>
      <c r="L356" s="2"/>
      <c r="M356" t="str">
        <f t="shared" si="21"/>
        <v>insert into business_analytic.report.orenda values(2026, 1, '2021301400', 'Ніжин,Фора-295 Батюка,9', NULL, 10840194.3, 'TO');</v>
      </c>
      <c r="N356" t="str">
        <f t="shared" si="22"/>
        <v>insert into business_analytic.report.orenda values(2026, 2, '2021301400', 'Ніжин,Фора-295 Батюка,9', NULL, 10382040.46, 'TO');</v>
      </c>
      <c r="O356" t="str">
        <f t="shared" si="22"/>
        <v>insert into business_analytic.report.orenda values(2026, 3, '2021301400', 'Ніжин,Фора-295 Батюка,9', NULL, 11284851.04, 'TO');</v>
      </c>
      <c r="P356" t="str">
        <f t="shared" si="23"/>
        <v>insert into business_analytic.report.orenda values(2026, 4, '2021301400', 'Ніжин,Фора-295 Батюка,9', NULL, 11218031.42, 'TO');</v>
      </c>
      <c r="Q356" t="str">
        <f t="shared" si="24"/>
        <v>insert into business_analytic.report.orenda values(2026, 5, '2021301400', 'Ніжин,Фора-295 Батюка,9', NULL, 11839899.22, 'TO');</v>
      </c>
    </row>
    <row r="357" spans="1:17" x14ac:dyDescent="0.3">
      <c r="A357" t="s">
        <v>409</v>
      </c>
      <c r="B357" t="s">
        <v>1184</v>
      </c>
      <c r="C357" t="s">
        <v>1185</v>
      </c>
      <c r="D357" s="2">
        <v>15608159.17</v>
      </c>
      <c r="E357" s="2">
        <v>14179316.85</v>
      </c>
      <c r="F357" s="2">
        <v>15050579.629999999</v>
      </c>
      <c r="G357" s="2">
        <v>15573572.509999998</v>
      </c>
      <c r="H357" s="2">
        <v>14104825.479999999</v>
      </c>
      <c r="I357" s="2">
        <v>14560872.989999998</v>
      </c>
      <c r="J357" s="2">
        <v>5653233.2399999993</v>
      </c>
      <c r="K357" s="2">
        <v>94730559.870000005</v>
      </c>
      <c r="L357" s="2"/>
      <c r="M357" t="str">
        <f t="shared" si="21"/>
        <v>insert into business_analytic.report.orenda values(2026, 1, '2021301500', 'Прилуки,Фора-363 Переяслівська,59А', NULL, 15608159.17, 'TO');</v>
      </c>
      <c r="N357" t="str">
        <f t="shared" si="22"/>
        <v>insert into business_analytic.report.orenda values(2026, 2, '2021301500', 'Прилуки,Фора-363 Переяслівська,59А', NULL, 14179316.85, 'TO');</v>
      </c>
      <c r="O357" t="str">
        <f t="shared" si="22"/>
        <v>insert into business_analytic.report.orenda values(2026, 3, '2021301500', 'Прилуки,Фора-363 Переяслівська,59А', NULL, 15050579.63, 'TO');</v>
      </c>
      <c r="P357" t="str">
        <f t="shared" si="23"/>
        <v>insert into business_analytic.report.orenda values(2026, 4, '2021301500', 'Прилуки,Фора-363 Переяслівська,59А', NULL, 15573572.51, 'TO');</v>
      </c>
      <c r="Q357" t="str">
        <f t="shared" si="24"/>
        <v>insert into business_analytic.report.orenda values(2026, 5, '2021301500', 'Прилуки,Фора-363 Переяслівська,59А', NULL, 14104825.48, 'TO');</v>
      </c>
    </row>
    <row r="358" spans="1:17" x14ac:dyDescent="0.3">
      <c r="A358" t="s">
        <v>81</v>
      </c>
      <c r="B358" t="s">
        <v>589</v>
      </c>
      <c r="C358" t="s">
        <v>871</v>
      </c>
      <c r="D358" s="2">
        <v>9225449.0199999977</v>
      </c>
      <c r="E358" s="2">
        <v>8454341.4000000004</v>
      </c>
      <c r="F358" s="2">
        <v>9867897.6600000001</v>
      </c>
      <c r="G358" s="2">
        <v>10269716.909999998</v>
      </c>
      <c r="H358" s="2">
        <v>10791985.459999999</v>
      </c>
      <c r="I358" s="2">
        <v>10821224.469999999</v>
      </c>
      <c r="J358" s="2">
        <v>4191623.26</v>
      </c>
      <c r="K358" s="2">
        <v>63622238.179999992</v>
      </c>
      <c r="L358" s="2"/>
      <c r="M358" t="str">
        <f t="shared" si="21"/>
        <v>insert into business_analytic.report.orenda values(2026, 1, '2021301700', 'Чернігів,Фора-538 Миру,68', NULL, 9225449.02, 'TO');</v>
      </c>
      <c r="N358" t="str">
        <f t="shared" si="22"/>
        <v>insert into business_analytic.report.orenda values(2026, 2, '2021301700', 'Чернігів,Фора-538 Миру,68', NULL, 8454341.4, 'TO');</v>
      </c>
      <c r="O358" t="str">
        <f t="shared" si="22"/>
        <v>insert into business_analytic.report.orenda values(2026, 3, '2021301700', 'Чернігів,Фора-538 Миру,68', NULL, 9867897.66, 'TO');</v>
      </c>
      <c r="P358" t="str">
        <f t="shared" si="23"/>
        <v>insert into business_analytic.report.orenda values(2026, 4, '2021301700', 'Чернігів,Фора-538 Миру,68', NULL, 10269716.91, 'TO');</v>
      </c>
      <c r="Q358" t="str">
        <f t="shared" si="24"/>
        <v>insert into business_analytic.report.orenda values(2026, 5, '2021301700', 'Чернігів,Фора-538 Миру,68', NULL, 10791985.46, 'TO');</v>
      </c>
    </row>
    <row r="359" spans="1:17" x14ac:dyDescent="0.3">
      <c r="A359" t="s">
        <v>82</v>
      </c>
      <c r="B359" t="s">
        <v>590</v>
      </c>
      <c r="C359" t="s">
        <v>872</v>
      </c>
      <c r="D359" s="2">
        <v>9221901.9699999988</v>
      </c>
      <c r="E359" s="2">
        <v>8606445.8599999994</v>
      </c>
      <c r="F359" s="2">
        <v>10117190.33</v>
      </c>
      <c r="G359" s="2">
        <v>10580352.889999997</v>
      </c>
      <c r="H359" s="2">
        <v>11313306.970000001</v>
      </c>
      <c r="I359" s="2">
        <v>11479191.16</v>
      </c>
      <c r="J359" s="2">
        <v>4726685.83</v>
      </c>
      <c r="K359" s="2">
        <v>66045075.00999999</v>
      </c>
      <c r="L359" s="2"/>
      <c r="M359" t="str">
        <f t="shared" si="21"/>
        <v>insert into business_analytic.report.orenda values(2026, 1, '2021301900', 'Корюківка,Фора-541 Шевченка,73А', NULL, 9221901.97, 'TO');</v>
      </c>
      <c r="N359" t="str">
        <f t="shared" si="22"/>
        <v>insert into business_analytic.report.orenda values(2026, 2, '2021301900', 'Корюківка,Фора-541 Шевченка,73А', NULL, 8606445.86, 'TO');</v>
      </c>
      <c r="O359" t="str">
        <f t="shared" si="22"/>
        <v>insert into business_analytic.report.orenda values(2026, 3, '2021301900', 'Корюківка,Фора-541 Шевченка,73А', NULL, 10117190.33, 'TO');</v>
      </c>
      <c r="P359" t="str">
        <f t="shared" si="23"/>
        <v>insert into business_analytic.report.orenda values(2026, 4, '2021301900', 'Корюківка,Фора-541 Шевченка,73А', NULL, 10580352.89, 'TO');</v>
      </c>
      <c r="Q359" t="str">
        <f t="shared" si="24"/>
        <v>insert into business_analytic.report.orenda values(2026, 5, '2021301900', 'Корюківка,Фора-541 Шевченка,73А', NULL, 11313306.97, 'TO');</v>
      </c>
    </row>
    <row r="360" spans="1:17" x14ac:dyDescent="0.3">
      <c r="A360" t="s">
        <v>410</v>
      </c>
      <c r="B360" t="s">
        <v>1186</v>
      </c>
      <c r="C360" t="s">
        <v>1018</v>
      </c>
      <c r="D360" s="2">
        <v>7643227.2999999998</v>
      </c>
      <c r="E360" s="2">
        <v>7328531.4799999995</v>
      </c>
      <c r="F360" s="2">
        <v>7549226.3700000001</v>
      </c>
      <c r="G360" s="2">
        <v>7933229.8200000003</v>
      </c>
      <c r="H360" s="2">
        <v>8003926.4999999991</v>
      </c>
      <c r="I360" s="2">
        <v>8327470.9699999997</v>
      </c>
      <c r="J360" s="2">
        <v>3209605.06</v>
      </c>
      <c r="K360" s="2">
        <v>49995217.5</v>
      </c>
      <c r="L360" s="2"/>
      <c r="M360" t="str">
        <f t="shared" si="21"/>
        <v>insert into business_analytic.report.orenda values(2026, 1, '2021400300', 'Христинівка,Фора-253 Українська,39', NULL, 7643227.3, 'TO');</v>
      </c>
      <c r="N360" t="str">
        <f t="shared" si="22"/>
        <v>insert into business_analytic.report.orenda values(2026, 2, '2021400300', 'Христинівка,Фора-253 Українська,39', NULL, 7328531.48, 'TO');</v>
      </c>
      <c r="O360" t="str">
        <f t="shared" si="22"/>
        <v>insert into business_analytic.report.orenda values(2026, 3, '2021400300', 'Христинівка,Фора-253 Українська,39', NULL, 7549226.37, 'TO');</v>
      </c>
      <c r="P360" t="str">
        <f t="shared" si="23"/>
        <v>insert into business_analytic.report.orenda values(2026, 4, '2021400300', 'Христинівка,Фора-253 Українська,39', NULL, 7933229.82, 'TO');</v>
      </c>
      <c r="Q360" t="str">
        <f t="shared" si="24"/>
        <v>insert into business_analytic.report.orenda values(2026, 5, '2021400300', 'Христинівка,Фора-253 Українська,39', NULL, 8003926.5, 'TO');</v>
      </c>
    </row>
    <row r="361" spans="1:17" x14ac:dyDescent="0.3">
      <c r="A361" t="s">
        <v>228</v>
      </c>
      <c r="B361" t="s">
        <v>591</v>
      </c>
      <c r="C361" t="s">
        <v>873</v>
      </c>
      <c r="D361" s="2">
        <v>11442241.9</v>
      </c>
      <c r="E361" s="2">
        <v>10651443.860000001</v>
      </c>
      <c r="F361" s="2">
        <v>11758508.74</v>
      </c>
      <c r="G361" s="2">
        <v>11810204.459999999</v>
      </c>
      <c r="H361" s="2">
        <v>11896091.709999999</v>
      </c>
      <c r="I361" s="2">
        <v>11564405.859999999</v>
      </c>
      <c r="J361" s="2">
        <v>4423539.1899999995</v>
      </c>
      <c r="K361" s="2">
        <v>73546435.719999999</v>
      </c>
      <c r="L361" s="2"/>
      <c r="M361" t="str">
        <f t="shared" si="21"/>
        <v>insert into business_analytic.report.orenda values(2026, 1, '2021400500', 'Звенигородка,Фора-481 Грушевського,140', NULL, 11442241.9, 'TO');</v>
      </c>
      <c r="N361" t="str">
        <f t="shared" si="22"/>
        <v>insert into business_analytic.report.orenda values(2026, 2, '2021400500', 'Звенигородка,Фора-481 Грушевського,140', NULL, 10651443.86, 'TO');</v>
      </c>
      <c r="O361" t="str">
        <f t="shared" si="22"/>
        <v>insert into business_analytic.report.orenda values(2026, 3, '2021400500', 'Звенигородка,Фора-481 Грушевського,140', NULL, 11758508.74, 'TO');</v>
      </c>
      <c r="P361" t="str">
        <f t="shared" si="23"/>
        <v>insert into business_analytic.report.orenda values(2026, 4, '2021400500', 'Звенигородка,Фора-481 Грушевського,140', NULL, 11810204.46, 'TO');</v>
      </c>
      <c r="Q361" t="str">
        <f t="shared" si="24"/>
        <v>insert into business_analytic.report.orenda values(2026, 5, '2021400500', 'Звенигородка,Фора-481 Грушевського,140', NULL, 11896091.71, 'TO');</v>
      </c>
    </row>
    <row r="362" spans="1:17" x14ac:dyDescent="0.3">
      <c r="A362" t="s">
        <v>229</v>
      </c>
      <c r="B362" t="s">
        <v>592</v>
      </c>
      <c r="C362" t="s">
        <v>874</v>
      </c>
      <c r="D362" s="2">
        <v>9788851.8499999996</v>
      </c>
      <c r="E362" s="2">
        <v>8995113.1600000001</v>
      </c>
      <c r="F362" s="2">
        <v>10029631.700000001</v>
      </c>
      <c r="G362" s="2">
        <v>10801943.319999998</v>
      </c>
      <c r="H362" s="2">
        <v>11168060.43</v>
      </c>
      <c r="I362" s="2">
        <v>11407580.23</v>
      </c>
      <c r="J362" s="2">
        <v>4464602.75</v>
      </c>
      <c r="K362" s="2">
        <v>66655783.43999999</v>
      </c>
      <c r="L362" s="2"/>
      <c r="M362" t="str">
        <f t="shared" si="21"/>
        <v>insert into business_analytic.report.orenda values(2026, 1, '2021400700', 'Маньківка,Фора-470 Соборна,12', NULL, 9788851.85, 'TO');</v>
      </c>
      <c r="N362" t="str">
        <f t="shared" si="22"/>
        <v>insert into business_analytic.report.orenda values(2026, 2, '2021400700', 'Маньківка,Фора-470 Соборна,12', NULL, 8995113.16, 'TO');</v>
      </c>
      <c r="O362" t="str">
        <f t="shared" si="22"/>
        <v>insert into business_analytic.report.orenda values(2026, 3, '2021400700', 'Маньківка,Фора-470 Соборна,12', NULL, 10029631.7, 'TO');</v>
      </c>
      <c r="P362" t="str">
        <f t="shared" si="23"/>
        <v>insert into business_analytic.report.orenda values(2026, 4, '2021400700', 'Маньківка,Фора-470 Соборна,12', NULL, 10801943.32, 'TO');</v>
      </c>
      <c r="Q362" t="str">
        <f t="shared" si="24"/>
        <v>insert into business_analytic.report.orenda values(2026, 5, '2021400700', 'Маньківка,Фора-470 Соборна,12', NULL, 11168060.43, 'TO');</v>
      </c>
    </row>
    <row r="363" spans="1:17" x14ac:dyDescent="0.3">
      <c r="A363" t="s">
        <v>83</v>
      </c>
      <c r="B363" t="s">
        <v>593</v>
      </c>
      <c r="C363" t="s">
        <v>875</v>
      </c>
      <c r="D363" s="2">
        <v>9255109.3499999996</v>
      </c>
      <c r="E363" s="2">
        <v>8571676.290000001</v>
      </c>
      <c r="F363" s="2">
        <v>9977904.9900000002</v>
      </c>
      <c r="G363" s="2">
        <v>10439696.98</v>
      </c>
      <c r="H363" s="2">
        <v>10857266.309999999</v>
      </c>
      <c r="I363" s="2">
        <v>11132898.15</v>
      </c>
      <c r="J363" s="2">
        <v>4415813.8999999994</v>
      </c>
      <c r="K363" s="2">
        <v>64650365.969999999</v>
      </c>
      <c r="L363" s="2"/>
      <c r="M363" t="str">
        <f t="shared" si="21"/>
        <v>insert into business_analytic.report.orenda values(2026, 1, '2021401200', 'Корс-Шевченківськ,Фора-484 Гер Майдану,7', NULL, 9255109.35, 'TO');</v>
      </c>
      <c r="N363" t="str">
        <f t="shared" si="22"/>
        <v>insert into business_analytic.report.orenda values(2026, 2, '2021401200', 'Корс-Шевченківськ,Фора-484 Гер Майдану,7', NULL, 8571676.29, 'TO');</v>
      </c>
      <c r="O363" t="str">
        <f t="shared" si="22"/>
        <v>insert into business_analytic.report.orenda values(2026, 3, '2021401200', 'Корс-Шевченківськ,Фора-484 Гер Майдану,7', NULL, 9977904.99, 'TO');</v>
      </c>
      <c r="P363" t="str">
        <f t="shared" si="23"/>
        <v>insert into business_analytic.report.orenda values(2026, 4, '2021401200', 'Корс-Шевченківськ,Фора-484 Гер Майдану,7', NULL, 10439696.98, 'TO');</v>
      </c>
      <c r="Q363" t="str">
        <f t="shared" si="24"/>
        <v>insert into business_analytic.report.orenda values(2026, 5, '2021401200', 'Корс-Шевченківськ,Фора-484 Гер Майдану,7', NULL, 10857266.31, 'TO');</v>
      </c>
    </row>
    <row r="364" spans="1:17" x14ac:dyDescent="0.3">
      <c r="A364" t="s">
        <v>230</v>
      </c>
      <c r="B364" t="s">
        <v>594</v>
      </c>
      <c r="C364" t="s">
        <v>876</v>
      </c>
      <c r="D364" s="2">
        <v>8620184.9699999988</v>
      </c>
      <c r="E364" s="2">
        <v>8119176</v>
      </c>
      <c r="F364" s="2">
        <v>9025887.5499999989</v>
      </c>
      <c r="G364" s="2">
        <v>9295308.3300000001</v>
      </c>
      <c r="H364" s="2">
        <v>9334339.3399999999</v>
      </c>
      <c r="I364" s="2">
        <v>9257212.709999999</v>
      </c>
      <c r="J364" s="2">
        <v>3807838.7899999996</v>
      </c>
      <c r="K364" s="2">
        <v>57459947.689999998</v>
      </c>
      <c r="L364" s="2"/>
      <c r="M364" t="str">
        <f t="shared" si="21"/>
        <v>insert into business_analytic.report.orenda values(2026, 1, '2021401300', 'Шпола,Фора-524 Соборна,33', NULL, 8620184.97, 'TO');</v>
      </c>
      <c r="N364" t="str">
        <f t="shared" si="22"/>
        <v>insert into business_analytic.report.orenda values(2026, 2, '2021401300', 'Шпола,Фора-524 Соборна,33', NULL, 8119176, 'TO');</v>
      </c>
      <c r="O364" t="str">
        <f t="shared" si="22"/>
        <v>insert into business_analytic.report.orenda values(2026, 3, '2021401300', 'Шпола,Фора-524 Соборна,33', NULL, 9025887.55, 'TO');</v>
      </c>
      <c r="P364" t="str">
        <f t="shared" si="23"/>
        <v>insert into business_analytic.report.orenda values(2026, 4, '2021401300', 'Шпола,Фора-524 Соборна,33', NULL, 9295308.33, 'TO');</v>
      </c>
      <c r="Q364" t="str">
        <f t="shared" si="24"/>
        <v>insert into business_analytic.report.orenda values(2026, 5, '2021401300', 'Шпола,Фора-524 Соборна,33', NULL, 9334339.34, 'TO');</v>
      </c>
    </row>
    <row r="365" spans="1:17" x14ac:dyDescent="0.3">
      <c r="A365" t="s">
        <v>231</v>
      </c>
      <c r="B365" t="s">
        <v>595</v>
      </c>
      <c r="C365" t="s">
        <v>877</v>
      </c>
      <c r="D365" s="2">
        <v>5470468.7300000004</v>
      </c>
      <c r="E365" s="2">
        <v>5072693.6499999994</v>
      </c>
      <c r="F365" s="2">
        <v>5431909.2800000003</v>
      </c>
      <c r="G365" s="2">
        <v>5985165.1000000006</v>
      </c>
      <c r="H365" s="2">
        <v>6354478.5699999984</v>
      </c>
      <c r="I365" s="2">
        <v>6280623.8899999997</v>
      </c>
      <c r="J365" s="2">
        <v>2471342.0999999996</v>
      </c>
      <c r="K365" s="2">
        <v>37066681.32</v>
      </c>
      <c r="L365" s="2"/>
      <c r="M365" t="str">
        <f t="shared" si="21"/>
        <v>insert into business_analytic.report.orenda values(2026, 1, '2021401400', 'Гельмязів,Фора-534 Центральна,6', NULL, 5470468.73, 'TO');</v>
      </c>
      <c r="N365" t="str">
        <f t="shared" si="22"/>
        <v>insert into business_analytic.report.orenda values(2026, 2, '2021401400', 'Гельмязів,Фора-534 Центральна,6', NULL, 5072693.65, 'TO');</v>
      </c>
      <c r="O365" t="str">
        <f t="shared" si="22"/>
        <v>insert into business_analytic.report.orenda values(2026, 3, '2021401400', 'Гельмязів,Фора-534 Центральна,6', NULL, 5431909.28, 'TO');</v>
      </c>
      <c r="P365" t="str">
        <f t="shared" si="23"/>
        <v>insert into business_analytic.report.orenda values(2026, 4, '2021401400', 'Гельмязів,Фора-534 Центральна,6', NULL, 5985165.1, 'TO');</v>
      </c>
      <c r="Q365" t="str">
        <f t="shared" si="24"/>
        <v>insert into business_analytic.report.orenda values(2026, 5, '2021401400', 'Гельмязів,Фора-534 Центральна,6', NULL, 6354478.57, 'TO');</v>
      </c>
    </row>
    <row r="366" spans="1:17" x14ac:dyDescent="0.3">
      <c r="A366" t="s">
        <v>84</v>
      </c>
      <c r="B366" t="s">
        <v>596</v>
      </c>
      <c r="C366" t="s">
        <v>878</v>
      </c>
      <c r="D366" s="2">
        <v>7221576.3600000003</v>
      </c>
      <c r="E366" s="2">
        <v>6196188.1900000004</v>
      </c>
      <c r="F366" s="2">
        <v>7248289.3999999985</v>
      </c>
      <c r="G366" s="2">
        <v>7382023.1499999994</v>
      </c>
      <c r="H366" s="2">
        <v>8124424.5800000001</v>
      </c>
      <c r="I366" s="2">
        <v>8344622.4399999995</v>
      </c>
      <c r="J366" s="2">
        <v>3185097.78</v>
      </c>
      <c r="K366" s="2">
        <v>47702221.899999999</v>
      </c>
      <c r="L366" s="2"/>
      <c r="M366" t="str">
        <f t="shared" si="21"/>
        <v>insert into business_analytic.report.orenda values(2026, 1, '2021401600', 'Умань,Фора-575 Захисників України,21Б', NULL, 7221576.36, 'TO');</v>
      </c>
      <c r="N366" t="str">
        <f t="shared" si="22"/>
        <v>insert into business_analytic.report.orenda values(2026, 2, '2021401600', 'Умань,Фора-575 Захисників України,21Б', NULL, 6196188.19, 'TO');</v>
      </c>
      <c r="O366" t="str">
        <f t="shared" si="22"/>
        <v>insert into business_analytic.report.orenda values(2026, 3, '2021401600', 'Умань,Фора-575 Захисників України,21Б', NULL, 7248289.4, 'TO');</v>
      </c>
      <c r="P366" t="str">
        <f t="shared" si="23"/>
        <v>insert into business_analytic.report.orenda values(2026, 4, '2021401600', 'Умань,Фора-575 Захисників України,21Б', NULL, 7382023.15, 'TO');</v>
      </c>
      <c r="Q366" t="str">
        <f t="shared" si="24"/>
        <v>insert into business_analytic.report.orenda values(2026, 5, '2021401600', 'Умань,Фора-575 Захисників України,21Б', NULL, 8124424.58, 'TO');</v>
      </c>
    </row>
    <row r="367" spans="1:17" x14ac:dyDescent="0.3">
      <c r="A367" s="3" t="s">
        <v>232</v>
      </c>
      <c r="B367" s="3" t="s">
        <v>597</v>
      </c>
      <c r="C367" t="s">
        <v>1213</v>
      </c>
      <c r="D367" s="2"/>
      <c r="E367" s="2"/>
      <c r="F367" s="2">
        <v>10322184.310000001</v>
      </c>
      <c r="G367" s="2">
        <v>8377340.3200000003</v>
      </c>
      <c r="H367" s="2">
        <v>8234868.1899999995</v>
      </c>
      <c r="I367" s="2">
        <v>8611248.5399999991</v>
      </c>
      <c r="J367" s="2">
        <v>3184207.58</v>
      </c>
      <c r="K367" s="2">
        <v>38729848.939999998</v>
      </c>
      <c r="L367" s="2"/>
      <c r="M367" t="str">
        <f t="shared" si="21"/>
        <v>insert into business_analytic.report.orenda values(2026, 1, '2021401700', 'Золотоноша,Фора-579 Шевченка,76Б', NULL, 0, 'TO');</v>
      </c>
      <c r="N367" t="str">
        <f t="shared" si="22"/>
        <v>insert into business_analytic.report.orenda values(2026, 2, '2021401700', 'Золотоноша,Фора-579 Шевченка,76Б', NULL, 0, 'TO');</v>
      </c>
      <c r="O367" t="str">
        <f t="shared" si="22"/>
        <v>insert into business_analytic.report.orenda values(2026, 3, '2021401700', 'Золотоноша,Фора-579 Шевченка,76Б', NULL, 10322184.31, 'TO');</v>
      </c>
      <c r="P367" t="str">
        <f t="shared" si="23"/>
        <v>insert into business_analytic.report.orenda values(2026, 4, '2021401700', 'Золотоноша,Фора-579 Шевченка,76Б', NULL, 8377340.32, 'TO');</v>
      </c>
      <c r="Q367" t="str">
        <f t="shared" si="24"/>
        <v>insert into business_analytic.report.orenda values(2026, 5, '2021401700', 'Золотоноша,Фора-579 Шевченка,76Б', NULL, 8234868.19, 'TO');</v>
      </c>
    </row>
    <row r="368" spans="1:17" x14ac:dyDescent="0.3">
      <c r="A368" t="s">
        <v>233</v>
      </c>
      <c r="B368" t="s">
        <v>598</v>
      </c>
      <c r="C368" t="s">
        <v>879</v>
      </c>
      <c r="D368" s="2">
        <v>13516985.909999998</v>
      </c>
      <c r="E368" s="2">
        <v>11827721.43</v>
      </c>
      <c r="F368" s="2">
        <v>13792237.92</v>
      </c>
      <c r="G368" s="2">
        <v>14817711.789999997</v>
      </c>
      <c r="H368" s="2">
        <v>15513194.789999999</v>
      </c>
      <c r="I368" s="2">
        <v>15693301.939999999</v>
      </c>
      <c r="J368" s="2">
        <v>6152155.6600000001</v>
      </c>
      <c r="K368" s="2">
        <v>91313309.439999998</v>
      </c>
      <c r="L368" s="2"/>
      <c r="M368" t="str">
        <f t="shared" si="21"/>
        <v>insert into business_analytic.report.orenda values(2026, 1, '2021500100', 'Гайсин,Фора-201 1-го Травня,70А', NULL, 13516985.91, 'TO');</v>
      </c>
      <c r="N368" t="str">
        <f t="shared" si="22"/>
        <v>insert into business_analytic.report.orenda values(2026, 2, '2021500100', 'Гайсин,Фора-201 1-го Травня,70А', NULL, 11827721.43, 'TO');</v>
      </c>
      <c r="O368" t="str">
        <f t="shared" si="22"/>
        <v>insert into business_analytic.report.orenda values(2026, 3, '2021500100', 'Гайсин,Фора-201 1-го Травня,70А', NULL, 13792237.92, 'TO');</v>
      </c>
      <c r="P368" t="str">
        <f t="shared" si="23"/>
        <v>insert into business_analytic.report.orenda values(2026, 4, '2021500100', 'Гайсин,Фора-201 1-го Травня,70А', NULL, 14817711.79, 'TO');</v>
      </c>
      <c r="Q368" t="str">
        <f t="shared" si="24"/>
        <v>insert into business_analytic.report.orenda values(2026, 5, '2021500100', 'Гайсин,Фора-201 1-го Травня,70А', NULL, 15513194.79, 'TO');</v>
      </c>
    </row>
    <row r="369" spans="1:17" x14ac:dyDescent="0.3">
      <c r="A369" t="s">
        <v>234</v>
      </c>
      <c r="B369" t="s">
        <v>599</v>
      </c>
      <c r="C369" t="s">
        <v>880</v>
      </c>
      <c r="D369" s="2">
        <v>14998704.77</v>
      </c>
      <c r="E369" s="2">
        <v>13824765.689999999</v>
      </c>
      <c r="F369" s="2">
        <v>15555337.969999999</v>
      </c>
      <c r="G369" s="2">
        <v>15618894.239999998</v>
      </c>
      <c r="H369" s="2">
        <v>16402434.729999999</v>
      </c>
      <c r="I369" s="2">
        <v>15591417.100000001</v>
      </c>
      <c r="J369" s="2">
        <v>5857758.5499999998</v>
      </c>
      <c r="K369" s="2">
        <v>97849313.049999982</v>
      </c>
      <c r="L369" s="2"/>
      <c r="M369" t="str">
        <f t="shared" si="21"/>
        <v>insert into business_analytic.report.orenda values(2026, 1, '2021500200', 'Ладижин,Фора-213 Будівельників,15А', NULL, 14998704.77, 'TO');</v>
      </c>
      <c r="N369" t="str">
        <f t="shared" si="22"/>
        <v>insert into business_analytic.report.orenda values(2026, 2, '2021500200', 'Ладижин,Фора-213 Будівельників,15А', NULL, 13824765.69, 'TO');</v>
      </c>
      <c r="O369" t="str">
        <f t="shared" si="22"/>
        <v>insert into business_analytic.report.orenda values(2026, 3, '2021500200', 'Ладижин,Фора-213 Будівельників,15А', NULL, 15555337.97, 'TO');</v>
      </c>
      <c r="P369" t="str">
        <f t="shared" si="23"/>
        <v>insert into business_analytic.report.orenda values(2026, 4, '2021500200', 'Ладижин,Фора-213 Будівельників,15А', NULL, 15618894.24, 'TO');</v>
      </c>
      <c r="Q369" t="str">
        <f t="shared" si="24"/>
        <v>insert into business_analytic.report.orenda values(2026, 5, '2021500200', 'Ладижин,Фора-213 Будівельників,15А', NULL, 16402434.73, 'TO');</v>
      </c>
    </row>
    <row r="370" spans="1:17" x14ac:dyDescent="0.3">
      <c r="A370" t="s">
        <v>411</v>
      </c>
      <c r="B370" t="s">
        <v>1187</v>
      </c>
      <c r="C370" t="s">
        <v>1188</v>
      </c>
      <c r="D370" s="2">
        <v>15252547.02</v>
      </c>
      <c r="E370" s="2">
        <v>9712105.9399999995</v>
      </c>
      <c r="F370" s="2">
        <v>15316265.32</v>
      </c>
      <c r="G370" s="2">
        <v>15949584.199999999</v>
      </c>
      <c r="H370" s="2">
        <v>16191035.649999999</v>
      </c>
      <c r="I370" s="2">
        <v>15758050.390000001</v>
      </c>
      <c r="J370" s="2">
        <v>6027525.5499999998</v>
      </c>
      <c r="K370" s="2">
        <v>94207114.069999993</v>
      </c>
      <c r="L370" s="2"/>
      <c r="M370" t="str">
        <f t="shared" si="21"/>
        <v>insert into business_analytic.report.orenda values(2026, 1, '2021500700', 'Козятин,Фора-365 Грушевського,46', NULL, 15252547.02, 'TO');</v>
      </c>
      <c r="N370" t="str">
        <f t="shared" si="22"/>
        <v>insert into business_analytic.report.orenda values(2026, 2, '2021500700', 'Козятин,Фора-365 Грушевського,46', NULL, 9712105.94, 'TO');</v>
      </c>
      <c r="O370" t="str">
        <f t="shared" si="22"/>
        <v>insert into business_analytic.report.orenda values(2026, 3, '2021500700', 'Козятин,Фора-365 Грушевського,46', NULL, 15316265.32, 'TO');</v>
      </c>
      <c r="P370" t="str">
        <f t="shared" si="23"/>
        <v>insert into business_analytic.report.orenda values(2026, 4, '2021500700', 'Козятин,Фора-365 Грушевського,46', NULL, 15949584.2, 'TO');</v>
      </c>
      <c r="Q370" t="str">
        <f t="shared" si="24"/>
        <v>insert into business_analytic.report.orenda values(2026, 5, '2021500700', 'Козятин,Фора-365 Грушевського,46', NULL, 16191035.65, 'TO');</v>
      </c>
    </row>
    <row r="371" spans="1:17" x14ac:dyDescent="0.3">
      <c r="A371" t="s">
        <v>235</v>
      </c>
      <c r="B371" t="s">
        <v>600</v>
      </c>
      <c r="C371" t="s">
        <v>881</v>
      </c>
      <c r="D371" s="2">
        <v>7297700.5699999994</v>
      </c>
      <c r="E371" s="2">
        <v>6721694.1200000001</v>
      </c>
      <c r="F371" s="2">
        <v>7610965.7999999989</v>
      </c>
      <c r="G371" s="2">
        <v>8378289.1099999994</v>
      </c>
      <c r="H371" s="2">
        <v>8877813.4299999997</v>
      </c>
      <c r="I371" s="2">
        <v>8883863.1999999993</v>
      </c>
      <c r="J371" s="2">
        <v>3514874.9099999997</v>
      </c>
      <c r="K371" s="2">
        <v>51285201.140000001</v>
      </c>
      <c r="L371" s="2"/>
      <c r="M371" t="str">
        <f t="shared" si="21"/>
        <v>insert into business_analytic.report.orenda values(2026, 1, '2021500800', 'Погребище,Фора-535 Хмельницького,107', NULL, 7297700.57, 'TO');</v>
      </c>
      <c r="N371" t="str">
        <f t="shared" si="22"/>
        <v>insert into business_analytic.report.orenda values(2026, 2, '2021500800', 'Погребище,Фора-535 Хмельницького,107', NULL, 6721694.12, 'TO');</v>
      </c>
      <c r="O371" t="str">
        <f t="shared" si="22"/>
        <v>insert into business_analytic.report.orenda values(2026, 3, '2021500800', 'Погребище,Фора-535 Хмельницького,107', NULL, 7610965.8, 'TO');</v>
      </c>
      <c r="P371" t="str">
        <f t="shared" si="23"/>
        <v>insert into business_analytic.report.orenda values(2026, 4, '2021500800', 'Погребище,Фора-535 Хмельницького,107', NULL, 8378289.11, 'TO');</v>
      </c>
      <c r="Q371" t="str">
        <f t="shared" si="24"/>
        <v>insert into business_analytic.report.orenda values(2026, 5, '2021500800', 'Погребище,Фора-535 Хмельницького,107', NULL, 8877813.43, 'TO');</v>
      </c>
    </row>
    <row r="372" spans="1:17" x14ac:dyDescent="0.3">
      <c r="A372" t="s">
        <v>236</v>
      </c>
      <c r="B372" t="s">
        <v>601</v>
      </c>
      <c r="C372" t="s">
        <v>882</v>
      </c>
      <c r="D372" s="2">
        <v>13741545.390000001</v>
      </c>
      <c r="E372" s="2">
        <v>13923140.83</v>
      </c>
      <c r="F372" s="2">
        <v>16296722.389999999</v>
      </c>
      <c r="G372" s="2">
        <v>14830767.669999998</v>
      </c>
      <c r="H372" s="2">
        <v>15363736.779999999</v>
      </c>
      <c r="I372" s="2">
        <v>14727479.050000001</v>
      </c>
      <c r="J372" s="2">
        <v>5374060.4400000004</v>
      </c>
      <c r="K372" s="2">
        <v>94257452.549999982</v>
      </c>
      <c r="L372" s="2"/>
      <c r="M372" t="str">
        <f t="shared" si="21"/>
        <v>insert into business_analytic.report.orenda values(2026, 1, '2021500900', 'Вінниця,Фора-475 Чорновола,29Б', NULL, 13741545.39, 'TO');</v>
      </c>
      <c r="N372" t="str">
        <f t="shared" si="22"/>
        <v>insert into business_analytic.report.orenda values(2026, 2, '2021500900', 'Вінниця,Фора-475 Чорновола,29Б', NULL, 13923140.83, 'TO');</v>
      </c>
      <c r="O372" t="str">
        <f t="shared" si="22"/>
        <v>insert into business_analytic.report.orenda values(2026, 3, '2021500900', 'Вінниця,Фора-475 Чорновола,29Б', NULL, 16296722.39, 'TO');</v>
      </c>
      <c r="P372" t="str">
        <f t="shared" si="23"/>
        <v>insert into business_analytic.report.orenda values(2026, 4, '2021500900', 'Вінниця,Фора-475 Чорновола,29Б', NULL, 14830767.67, 'TO');</v>
      </c>
      <c r="Q372" t="str">
        <f t="shared" si="24"/>
        <v>insert into business_analytic.report.orenda values(2026, 5, '2021500900', 'Вінниця,Фора-475 Чорновола,29Б', NULL, 15363736.78, 'TO');</v>
      </c>
    </row>
    <row r="373" spans="1:17" x14ac:dyDescent="0.3">
      <c r="A373" t="s">
        <v>85</v>
      </c>
      <c r="B373" t="s">
        <v>602</v>
      </c>
      <c r="C373" t="s">
        <v>883</v>
      </c>
      <c r="D373" s="2">
        <v>9121459.0300000012</v>
      </c>
      <c r="E373" s="2">
        <v>8991481.6400000006</v>
      </c>
      <c r="F373" s="2">
        <v>10343056.15</v>
      </c>
      <c r="G373" s="2">
        <v>10141544.43</v>
      </c>
      <c r="H373" s="2">
        <v>10573305.119999999</v>
      </c>
      <c r="I373" s="2">
        <v>10371698.23</v>
      </c>
      <c r="J373" s="2">
        <v>3847657.84</v>
      </c>
      <c r="K373" s="2">
        <v>63390202.439999998</v>
      </c>
      <c r="L373" s="2"/>
      <c r="M373" t="str">
        <f t="shared" si="21"/>
        <v>insert into business_analytic.report.orenda values(2026, 1, '2021501000', 'Вінниця,Фора-478 600-річчя,17', NULL, 9121459.03, 'TO');</v>
      </c>
      <c r="N373" t="str">
        <f t="shared" si="22"/>
        <v>insert into business_analytic.report.orenda values(2026, 2, '2021501000', 'Вінниця,Фора-478 600-річчя,17', NULL, 8991481.64, 'TO');</v>
      </c>
      <c r="O373" t="str">
        <f t="shared" si="22"/>
        <v>insert into business_analytic.report.orenda values(2026, 3, '2021501000', 'Вінниця,Фора-478 600-річчя,17', NULL, 10343056.15, 'TO');</v>
      </c>
      <c r="P373" t="str">
        <f t="shared" si="23"/>
        <v>insert into business_analytic.report.orenda values(2026, 4, '2021501000', 'Вінниця,Фора-478 600-річчя,17', NULL, 10141544.43, 'TO');</v>
      </c>
      <c r="Q373" t="str">
        <f t="shared" si="24"/>
        <v>insert into business_analytic.report.orenda values(2026, 5, '2021501000', 'Вінниця,Фора-478 600-річчя,17', NULL, 10573305.12, 'TO');</v>
      </c>
    </row>
    <row r="374" spans="1:17" x14ac:dyDescent="0.3">
      <c r="A374" t="s">
        <v>86</v>
      </c>
      <c r="B374" t="s">
        <v>603</v>
      </c>
      <c r="C374" t="s">
        <v>884</v>
      </c>
      <c r="D374" s="2">
        <v>11867348.060000001</v>
      </c>
      <c r="E374" s="2">
        <v>11486026.869999999</v>
      </c>
      <c r="F374" s="2">
        <v>12378310.51</v>
      </c>
      <c r="G374" s="2">
        <v>12448990.689999999</v>
      </c>
      <c r="H374" s="2">
        <v>12369429.209999999</v>
      </c>
      <c r="I374" s="2">
        <v>12340625.999999998</v>
      </c>
      <c r="J374" s="2">
        <v>4490143.169999999</v>
      </c>
      <c r="K374" s="2">
        <v>77380874.50999999</v>
      </c>
      <c r="L374" s="2"/>
      <c r="M374" t="str">
        <f t="shared" si="21"/>
        <v>insert into business_analytic.report.orenda values(2026, 1, '2021501100', 'Вінниця,Фора-479 Коцюбинського,2А', NULL, 11867348.06, 'TO');</v>
      </c>
      <c r="N374" t="str">
        <f t="shared" si="22"/>
        <v>insert into business_analytic.report.orenda values(2026, 2, '2021501100', 'Вінниця,Фора-479 Коцюбинського,2А', NULL, 11486026.87, 'TO');</v>
      </c>
      <c r="O374" t="str">
        <f t="shared" si="22"/>
        <v>insert into business_analytic.report.orenda values(2026, 3, '2021501100', 'Вінниця,Фора-479 Коцюбинського,2А', NULL, 12378310.51, 'TO');</v>
      </c>
      <c r="P374" t="str">
        <f t="shared" si="23"/>
        <v>insert into business_analytic.report.orenda values(2026, 4, '2021501100', 'Вінниця,Фора-479 Коцюбинського,2А', NULL, 12448990.69, 'TO');</v>
      </c>
      <c r="Q374" t="str">
        <f t="shared" si="24"/>
        <v>insert into business_analytic.report.orenda values(2026, 5, '2021501100', 'Вінниця,Фора-479 Коцюбинського,2А', NULL, 12369429.21, 'TO');</v>
      </c>
    </row>
    <row r="375" spans="1:17" x14ac:dyDescent="0.3">
      <c r="A375" t="s">
        <v>87</v>
      </c>
      <c r="B375" t="s">
        <v>604</v>
      </c>
      <c r="C375" t="s">
        <v>885</v>
      </c>
      <c r="D375" s="2">
        <v>6383421.5499999998</v>
      </c>
      <c r="E375" s="2">
        <v>5824085.5499999998</v>
      </c>
      <c r="F375" s="2">
        <v>6339120.8500000006</v>
      </c>
      <c r="G375" s="2">
        <v>6535613.21</v>
      </c>
      <c r="H375" s="2">
        <v>6540714.6399999997</v>
      </c>
      <c r="I375" s="2">
        <v>6097071.8399999999</v>
      </c>
      <c r="J375" s="2">
        <v>2304881.44</v>
      </c>
      <c r="K375" s="2">
        <v>40024909.079999998</v>
      </c>
      <c r="L375" s="2"/>
      <c r="M375" t="str">
        <f t="shared" si="21"/>
        <v>insert into business_analytic.report.orenda values(2026, 1, '2021501200', 'Хмільник,Фора-482 Свободи,21Б', NULL, 6383421.55, 'TO');</v>
      </c>
      <c r="N375" t="str">
        <f t="shared" si="22"/>
        <v>insert into business_analytic.report.orenda values(2026, 2, '2021501200', 'Хмільник,Фора-482 Свободи,21Б', NULL, 5824085.55, 'TO');</v>
      </c>
      <c r="O375" t="str">
        <f t="shared" si="22"/>
        <v>insert into business_analytic.report.orenda values(2026, 3, '2021501200', 'Хмільник,Фора-482 Свободи,21Б', NULL, 6339120.85, 'TO');</v>
      </c>
      <c r="P375" t="str">
        <f t="shared" si="23"/>
        <v>insert into business_analytic.report.orenda values(2026, 4, '2021501200', 'Хмільник,Фора-482 Свободи,21Б', NULL, 6535613.21, 'TO');</v>
      </c>
      <c r="Q375" t="str">
        <f t="shared" si="24"/>
        <v>insert into business_analytic.report.orenda values(2026, 5, '2021501200', 'Хмільник,Фора-482 Свободи,21Б', NULL, 6540714.64, 'TO');</v>
      </c>
    </row>
    <row r="376" spans="1:17" x14ac:dyDescent="0.3">
      <c r="A376" t="s">
        <v>237</v>
      </c>
      <c r="B376" t="s">
        <v>605</v>
      </c>
      <c r="C376" t="s">
        <v>886</v>
      </c>
      <c r="D376" s="2">
        <v>6246258.9500000002</v>
      </c>
      <c r="E376" s="2">
        <v>6081962.8300000001</v>
      </c>
      <c r="F376" s="2">
        <v>6861431.5499999998</v>
      </c>
      <c r="G376" s="2">
        <v>6922962.4899999993</v>
      </c>
      <c r="H376" s="2">
        <v>7027696.4299999997</v>
      </c>
      <c r="I376" s="2">
        <v>6906315.1899999995</v>
      </c>
      <c r="J376" s="2">
        <v>2584020.7999999998</v>
      </c>
      <c r="K376" s="2">
        <v>42630648.239999995</v>
      </c>
      <c r="L376" s="2"/>
      <c r="M376" t="str">
        <f t="shared" si="21"/>
        <v>insert into business_analytic.report.orenda values(2026, 1, '2021501300', 'Тульчин,Фора-488 Леонтовича,50', NULL, 6246258.95, 'TO');</v>
      </c>
      <c r="N376" t="str">
        <f t="shared" si="22"/>
        <v>insert into business_analytic.report.orenda values(2026, 2, '2021501300', 'Тульчин,Фора-488 Леонтовича,50', NULL, 6081962.83, 'TO');</v>
      </c>
      <c r="O376" t="str">
        <f t="shared" si="22"/>
        <v>insert into business_analytic.report.orenda values(2026, 3, '2021501300', 'Тульчин,Фора-488 Леонтовича,50', NULL, 6861431.55, 'TO');</v>
      </c>
      <c r="P376" t="str">
        <f t="shared" si="23"/>
        <v>insert into business_analytic.report.orenda values(2026, 4, '2021501300', 'Тульчин,Фора-488 Леонтовича,50', NULL, 6922962.49, 'TO');</v>
      </c>
      <c r="Q376" t="str">
        <f t="shared" si="24"/>
        <v>insert into business_analytic.report.orenda values(2026, 5, '2021501300', 'Тульчин,Фора-488 Леонтовича,50', NULL, 7027696.43, 'TO');</v>
      </c>
    </row>
    <row r="377" spans="1:17" x14ac:dyDescent="0.3">
      <c r="A377" t="s">
        <v>88</v>
      </c>
      <c r="B377" t="s">
        <v>606</v>
      </c>
      <c r="C377" t="s">
        <v>887</v>
      </c>
      <c r="D377" s="2">
        <v>10659202.83</v>
      </c>
      <c r="E377" s="2">
        <v>9938612.5399999991</v>
      </c>
      <c r="F377" s="2">
        <v>11251896.150000002</v>
      </c>
      <c r="G377" s="2">
        <v>12376236.789999999</v>
      </c>
      <c r="H377" s="2">
        <v>12883668.77</v>
      </c>
      <c r="I377" s="2">
        <v>12823918.279999999</v>
      </c>
      <c r="J377" s="2">
        <v>4957877.3999999994</v>
      </c>
      <c r="K377" s="2">
        <v>74891412.760000005</v>
      </c>
      <c r="L377" s="2"/>
      <c r="M377" t="str">
        <f t="shared" si="21"/>
        <v>insert into business_analytic.report.orenda values(2026, 1, '2021501400', 'Літин,Фора-492 Соборна,22', NULL, 10659202.83, 'TO');</v>
      </c>
      <c r="N377" t="str">
        <f t="shared" si="22"/>
        <v>insert into business_analytic.report.orenda values(2026, 2, '2021501400', 'Літин,Фора-492 Соборна,22', NULL, 9938612.54, 'TO');</v>
      </c>
      <c r="O377" t="str">
        <f t="shared" si="22"/>
        <v>insert into business_analytic.report.orenda values(2026, 3, '2021501400', 'Літин,Фора-492 Соборна,22', NULL, 11251896.15, 'TO');</v>
      </c>
      <c r="P377" t="str">
        <f t="shared" si="23"/>
        <v>insert into business_analytic.report.orenda values(2026, 4, '2021501400', 'Літин,Фора-492 Соборна,22', NULL, 12376236.79, 'TO');</v>
      </c>
      <c r="Q377" t="str">
        <f t="shared" si="24"/>
        <v>insert into business_analytic.report.orenda values(2026, 5, '2021501400', 'Літин,Фора-492 Соборна,22', NULL, 12883668.77, 'TO');</v>
      </c>
    </row>
    <row r="378" spans="1:17" x14ac:dyDescent="0.3">
      <c r="A378" t="s">
        <v>238</v>
      </c>
      <c r="B378" t="s">
        <v>607</v>
      </c>
      <c r="C378" t="s">
        <v>888</v>
      </c>
      <c r="D378" s="2">
        <v>8064687.1799999988</v>
      </c>
      <c r="E378" s="2">
        <v>7063105.4899999993</v>
      </c>
      <c r="F378" s="2">
        <v>7987297.919999999</v>
      </c>
      <c r="G378" s="2">
        <v>8552108.8899999987</v>
      </c>
      <c r="H378" s="2">
        <v>8643549.1600000001</v>
      </c>
      <c r="I378" s="2">
        <v>8782094.0600000005</v>
      </c>
      <c r="J378" s="2">
        <v>3475569.33</v>
      </c>
      <c r="K378" s="2">
        <v>52568412.030000001</v>
      </c>
      <c r="L378" s="2"/>
      <c r="M378" t="str">
        <f t="shared" si="21"/>
        <v>insert into business_analytic.report.orenda values(2026, 1, '2021501500', 'Летичів,Фора-493 Шевченка,1А', NULL, 8064687.18, 'TO');</v>
      </c>
      <c r="N378" t="str">
        <f t="shared" si="22"/>
        <v>insert into business_analytic.report.orenda values(2026, 2, '2021501500', 'Летичів,Фора-493 Шевченка,1А', NULL, 7063105.49, 'TO');</v>
      </c>
      <c r="O378" t="str">
        <f t="shared" si="22"/>
        <v>insert into business_analytic.report.orenda values(2026, 3, '2021501500', 'Летичів,Фора-493 Шевченка,1А', NULL, 7987297.92, 'TO');</v>
      </c>
      <c r="P378" t="str">
        <f t="shared" si="23"/>
        <v>insert into business_analytic.report.orenda values(2026, 4, '2021501500', 'Летичів,Фора-493 Шевченка,1А', NULL, 8552108.89, 'TO');</v>
      </c>
      <c r="Q378" t="str">
        <f t="shared" si="24"/>
        <v>insert into business_analytic.report.orenda values(2026, 5, '2021501500', 'Летичів,Фора-493 Шевченка,1А', NULL, 8643549.16, 'TO');</v>
      </c>
    </row>
    <row r="379" spans="1:17" x14ac:dyDescent="0.3">
      <c r="A379" t="s">
        <v>239</v>
      </c>
      <c r="B379" t="s">
        <v>608</v>
      </c>
      <c r="C379" t="s">
        <v>871</v>
      </c>
      <c r="D379" s="2">
        <v>9072891.6600000001</v>
      </c>
      <c r="E379" s="2">
        <v>8767005.7700000014</v>
      </c>
      <c r="F379" s="2">
        <v>9860409.459999999</v>
      </c>
      <c r="G379" s="2">
        <v>10043544.409999998</v>
      </c>
      <c r="H379" s="2">
        <v>10485334.199999999</v>
      </c>
      <c r="I379" s="2">
        <v>10581452.640000001</v>
      </c>
      <c r="J379" s="2">
        <v>3943395.94</v>
      </c>
      <c r="K379" s="2">
        <v>62754034.080000006</v>
      </c>
      <c r="L379" s="2"/>
      <c r="M379" t="str">
        <f t="shared" si="21"/>
        <v>insert into business_analytic.report.orenda values(2026, 1, '2021501600', 'Іллінці,Фора-542 Європейська,22', NULL, 9072891.66, 'TO');</v>
      </c>
      <c r="N379" t="str">
        <f t="shared" si="22"/>
        <v>insert into business_analytic.report.orenda values(2026, 2, '2021501600', 'Іллінці,Фора-542 Європейська,22', NULL, 8767005.77, 'TO');</v>
      </c>
      <c r="O379" t="str">
        <f t="shared" si="22"/>
        <v>insert into business_analytic.report.orenda values(2026, 3, '2021501600', 'Іллінці,Фора-542 Європейська,22', NULL, 9860409.46, 'TO');</v>
      </c>
      <c r="P379" t="str">
        <f t="shared" si="23"/>
        <v>insert into business_analytic.report.orenda values(2026, 4, '2021501600', 'Іллінці,Фора-542 Європейська,22', NULL, 10043544.41, 'TO');</v>
      </c>
      <c r="Q379" t="str">
        <f t="shared" si="24"/>
        <v>insert into business_analytic.report.orenda values(2026, 5, '2021501600', 'Іллінці,Фора-542 Європейська,22', NULL, 10485334.2, 'TO');</v>
      </c>
    </row>
    <row r="380" spans="1:17" x14ac:dyDescent="0.3">
      <c r="A380" t="s">
        <v>240</v>
      </c>
      <c r="B380" t="s">
        <v>609</v>
      </c>
      <c r="C380" t="s">
        <v>889</v>
      </c>
      <c r="D380" s="2">
        <v>9224930.2699999996</v>
      </c>
      <c r="E380" s="2">
        <v>8823023.6500000004</v>
      </c>
      <c r="F380" s="2">
        <v>10303629.57</v>
      </c>
      <c r="G380" s="2">
        <v>10438154.219999999</v>
      </c>
      <c r="H380" s="2">
        <v>10805265.57</v>
      </c>
      <c r="I380" s="2">
        <v>10337278.279999999</v>
      </c>
      <c r="J380" s="2">
        <v>4018090.7399999998</v>
      </c>
      <c r="K380" s="2">
        <v>63950372.299999997</v>
      </c>
      <c r="L380" s="2"/>
      <c r="M380" t="str">
        <f t="shared" si="21"/>
        <v>insert into business_analytic.report.orenda values(2026, 1, '2021502000', 'Гнівань,Фора-518 Соборна,45', NULL, 9224930.27, 'TO');</v>
      </c>
      <c r="N380" t="str">
        <f t="shared" si="22"/>
        <v>insert into business_analytic.report.orenda values(2026, 2, '2021502000', 'Гнівань,Фора-518 Соборна,45', NULL, 8823023.65, 'TO');</v>
      </c>
      <c r="O380" t="str">
        <f t="shared" si="22"/>
        <v>insert into business_analytic.report.orenda values(2026, 3, '2021502000', 'Гнівань,Фора-518 Соборна,45', NULL, 10303629.57, 'TO');</v>
      </c>
      <c r="P380" t="str">
        <f t="shared" si="23"/>
        <v>insert into business_analytic.report.orenda values(2026, 4, '2021502000', 'Гнівань,Фора-518 Соборна,45', NULL, 10438154.22, 'TO');</v>
      </c>
      <c r="Q380" t="str">
        <f t="shared" si="24"/>
        <v>insert into business_analytic.report.orenda values(2026, 5, '2021502000', 'Гнівань,Фора-518 Соборна,45', NULL, 10805265.57, 'TO');</v>
      </c>
    </row>
    <row r="381" spans="1:17" x14ac:dyDescent="0.3">
      <c r="A381" t="s">
        <v>241</v>
      </c>
      <c r="B381" t="s">
        <v>610</v>
      </c>
      <c r="C381" t="s">
        <v>890</v>
      </c>
      <c r="D381" s="2">
        <v>6277997.9000000004</v>
      </c>
      <c r="E381" s="2">
        <v>5338564.2699999996</v>
      </c>
      <c r="F381" s="2">
        <v>7268232.4100000001</v>
      </c>
      <c r="G381" s="2">
        <v>7893765.6699999999</v>
      </c>
      <c r="H381" s="2">
        <v>8302265.8199999994</v>
      </c>
      <c r="I381" s="2">
        <v>8189294.5899999989</v>
      </c>
      <c r="J381" s="2">
        <v>3113666.1799999997</v>
      </c>
      <c r="K381" s="2">
        <v>46383786.839999996</v>
      </c>
      <c r="L381" s="2"/>
      <c r="M381" t="str">
        <f t="shared" si="21"/>
        <v>insert into business_analytic.report.orenda values(2026, 1, '2021502200', 'Теплик,Фора-503 Незалежності,28', NULL, 6277997.9, 'TO');</v>
      </c>
      <c r="N381" t="str">
        <f t="shared" si="22"/>
        <v>insert into business_analytic.report.orenda values(2026, 2, '2021502200', 'Теплик,Фора-503 Незалежності,28', NULL, 5338564.27, 'TO');</v>
      </c>
      <c r="O381" t="str">
        <f t="shared" si="22"/>
        <v>insert into business_analytic.report.orenda values(2026, 3, '2021502200', 'Теплик,Фора-503 Незалежності,28', NULL, 7268232.41, 'TO');</v>
      </c>
      <c r="P381" t="str">
        <f t="shared" si="23"/>
        <v>insert into business_analytic.report.orenda values(2026, 4, '2021502200', 'Теплик,Фора-503 Незалежності,28', NULL, 7893765.67, 'TO');</v>
      </c>
      <c r="Q381" t="str">
        <f t="shared" si="24"/>
        <v>insert into business_analytic.report.orenda values(2026, 5, '2021502200', 'Теплик,Фора-503 Незалежності,28', NULL, 8302265.82, 'TO');</v>
      </c>
    </row>
    <row r="382" spans="1:17" x14ac:dyDescent="0.3">
      <c r="A382" t="s">
        <v>89</v>
      </c>
      <c r="B382" t="s">
        <v>611</v>
      </c>
      <c r="C382" t="s">
        <v>891</v>
      </c>
      <c r="D382" s="2">
        <v>14964769.77</v>
      </c>
      <c r="E382" s="2">
        <v>14283522.32</v>
      </c>
      <c r="F382" s="2">
        <v>14792845.67</v>
      </c>
      <c r="G382" s="2">
        <v>14323114.27</v>
      </c>
      <c r="H382" s="2">
        <v>14482183.319999998</v>
      </c>
      <c r="I382" s="2">
        <v>13481063.07</v>
      </c>
      <c r="J382" s="2">
        <v>5021776.78</v>
      </c>
      <c r="K382" s="2">
        <v>91349275.199999988</v>
      </c>
      <c r="L382" s="2"/>
      <c r="M382" t="str">
        <f t="shared" si="21"/>
        <v>insert into business_analytic.report.orenda values(2026, 1, '2022102300', 'Рівне,Фора-474 Київська,10', NULL, 14964769.77, 'TO');</v>
      </c>
      <c r="N382" t="str">
        <f t="shared" si="22"/>
        <v>insert into business_analytic.report.orenda values(2026, 2, '2022102300', 'Рівне,Фора-474 Київська,10', NULL, 14283522.32, 'TO');</v>
      </c>
      <c r="O382" t="str">
        <f t="shared" si="22"/>
        <v>insert into business_analytic.report.orenda values(2026, 3, '2022102300', 'Рівне,Фора-474 Київська,10', NULL, 14792845.67, 'TO');</v>
      </c>
      <c r="P382" t="str">
        <f t="shared" si="23"/>
        <v>insert into business_analytic.report.orenda values(2026, 4, '2022102300', 'Рівне,Фора-474 Київська,10', NULL, 14323114.27, 'TO');</v>
      </c>
      <c r="Q382" t="str">
        <f t="shared" si="24"/>
        <v>insert into business_analytic.report.orenda values(2026, 5, '2022102300', 'Рівне,Фора-474 Київська,10', NULL, 14482183.32, 'TO');</v>
      </c>
    </row>
    <row r="383" spans="1:17" x14ac:dyDescent="0.3">
      <c r="A383" t="s">
        <v>242</v>
      </c>
      <c r="B383" t="s">
        <v>612</v>
      </c>
      <c r="C383" t="s">
        <v>892</v>
      </c>
      <c r="D383" s="2">
        <v>7879575.2999999998</v>
      </c>
      <c r="E383" s="2">
        <v>7239646.2800000003</v>
      </c>
      <c r="F383" s="2">
        <v>7538661.5099999998</v>
      </c>
      <c r="G383" s="2">
        <v>7557358.0899999989</v>
      </c>
      <c r="H383" s="2">
        <v>7524001.9500000002</v>
      </c>
      <c r="I383" s="2">
        <v>7288115.169999999</v>
      </c>
      <c r="J383" s="2">
        <v>2884802.39</v>
      </c>
      <c r="K383" s="2">
        <v>47912160.68999999</v>
      </c>
      <c r="L383" s="2"/>
      <c r="M383" t="str">
        <f t="shared" si="21"/>
        <v>insert into business_analytic.report.orenda values(2026, 1, '2022102400', 'Рівне,Фора-500 Сагайдачного,4А', NULL, 7879575.3, 'TO');</v>
      </c>
      <c r="N383" t="str">
        <f t="shared" si="22"/>
        <v>insert into business_analytic.report.orenda values(2026, 2, '2022102400', 'Рівне,Фора-500 Сагайдачного,4А', NULL, 7239646.28, 'TO');</v>
      </c>
      <c r="O383" t="str">
        <f t="shared" si="22"/>
        <v>insert into business_analytic.report.orenda values(2026, 3, '2022102400', 'Рівне,Фора-500 Сагайдачного,4А', NULL, 7538661.51, 'TO');</v>
      </c>
      <c r="P383" t="str">
        <f t="shared" si="23"/>
        <v>insert into business_analytic.report.orenda values(2026, 4, '2022102400', 'Рівне,Фора-500 Сагайдачного,4А', NULL, 7557358.09, 'TO');</v>
      </c>
      <c r="Q383" t="str">
        <f t="shared" si="24"/>
        <v>insert into business_analytic.report.orenda values(2026, 5, '2022102400', 'Рівне,Фора-500 Сагайдачного,4А', NULL, 7524001.95, 'TO');</v>
      </c>
    </row>
    <row r="384" spans="1:17" x14ac:dyDescent="0.3">
      <c r="A384" t="s">
        <v>90</v>
      </c>
      <c r="B384" t="s">
        <v>613</v>
      </c>
      <c r="C384" t="s">
        <v>1214</v>
      </c>
      <c r="D384" s="2"/>
      <c r="E384" s="2"/>
      <c r="F384" s="2">
        <v>4071295.5199999996</v>
      </c>
      <c r="G384" s="2">
        <v>7549514.5899999999</v>
      </c>
      <c r="H384" s="2">
        <v>7641889.2599999998</v>
      </c>
      <c r="I384" s="2">
        <v>7513119.3200000003</v>
      </c>
      <c r="J384" s="2">
        <v>2975078.65</v>
      </c>
      <c r="K384" s="2">
        <v>29750897.339999996</v>
      </c>
      <c r="L384" s="2"/>
      <c r="M384" t="str">
        <f t="shared" si="21"/>
        <v>insert into business_analytic.report.orenda values(2026, 1, '2022102500', 'Рівне,Фора-563 Соборна,289А', NULL, 0, 'TO');</v>
      </c>
      <c r="N384" t="str">
        <f t="shared" si="22"/>
        <v>insert into business_analytic.report.orenda values(2026, 2, '2022102500', 'Рівне,Фора-563 Соборна,289А', NULL, 0, 'TO');</v>
      </c>
      <c r="O384" t="str">
        <f t="shared" si="22"/>
        <v>insert into business_analytic.report.orenda values(2026, 3, '2022102500', 'Рівне,Фора-563 Соборна,289А', NULL, 4071295.52, 'TO');</v>
      </c>
      <c r="P384" t="str">
        <f t="shared" si="23"/>
        <v>insert into business_analytic.report.orenda values(2026, 4, '2022102500', 'Рівне,Фора-563 Соборна,289А', NULL, 7549514.59, 'TO');</v>
      </c>
      <c r="Q384" t="str">
        <f t="shared" si="24"/>
        <v>insert into business_analytic.report.orenda values(2026, 5, '2022102500', 'Рівне,Фора-563 Соборна,289А', NULL, 7641889.26, 'TO');</v>
      </c>
    </row>
    <row r="385" spans="1:17" x14ac:dyDescent="0.3">
      <c r="A385" t="s">
        <v>243</v>
      </c>
      <c r="B385" t="s">
        <v>614</v>
      </c>
      <c r="C385" t="s">
        <v>1215</v>
      </c>
      <c r="D385" s="2"/>
      <c r="E385" s="2"/>
      <c r="F385" s="2">
        <v>4829742.1399999997</v>
      </c>
      <c r="G385" s="2">
        <v>4628762.6399999997</v>
      </c>
      <c r="H385" s="2">
        <v>4743515.78</v>
      </c>
      <c r="I385" s="2">
        <v>4560357.209999999</v>
      </c>
      <c r="J385" s="2">
        <v>1649197.2799999998</v>
      </c>
      <c r="K385" s="2">
        <v>20411575.049999997</v>
      </c>
      <c r="L385" s="2"/>
      <c r="M385" t="str">
        <f t="shared" si="21"/>
        <v>insert into business_analytic.report.orenda values(2026, 1, '2022102600', 'Рівне,Фора-583 Княгині Ольги,1(Сам)', NULL, 0, 'TO');</v>
      </c>
      <c r="N385" t="str">
        <f t="shared" si="22"/>
        <v>insert into business_analytic.report.orenda values(2026, 2, '2022102600', 'Рівне,Фора-583 Княгині Ольги,1(Сам)', NULL, 0, 'TO');</v>
      </c>
      <c r="O385" t="str">
        <f t="shared" si="22"/>
        <v>insert into business_analytic.report.orenda values(2026, 3, '2022102600', 'Рівне,Фора-583 Княгині Ольги,1(Сам)', NULL, 4829742.14, 'TO');</v>
      </c>
      <c r="P385" t="str">
        <f t="shared" si="23"/>
        <v>insert into business_analytic.report.orenda values(2026, 4, '2022102600', 'Рівне,Фора-583 Княгині Ольги,1(Сам)', NULL, 4628762.64, 'TO');</v>
      </c>
      <c r="Q385" t="str">
        <f t="shared" si="24"/>
        <v>insert into business_analytic.report.orenda values(2026, 5, '2022102600', 'Рівне,Фора-583 Княгині Ольги,1(Сам)', NULL, 4743515.78, 'TO');</v>
      </c>
    </row>
    <row r="386" spans="1:17" x14ac:dyDescent="0.3">
      <c r="A386" t="s">
        <v>417</v>
      </c>
      <c r="B386" t="s">
        <v>615</v>
      </c>
      <c r="C386" t="s">
        <v>1216</v>
      </c>
      <c r="D386" s="2"/>
      <c r="E386" s="2"/>
      <c r="F386" s="2">
        <v>3204856.66</v>
      </c>
      <c r="G386" s="2">
        <v>3688543.8299999996</v>
      </c>
      <c r="H386" s="2">
        <v>3846431.61</v>
      </c>
      <c r="I386" s="2">
        <v>4159795.06</v>
      </c>
      <c r="J386" s="2">
        <v>1493994.2399999998</v>
      </c>
      <c r="K386" s="2">
        <v>16393621.4</v>
      </c>
      <c r="L386" s="2"/>
      <c r="M386" t="str">
        <f t="shared" si="21"/>
        <v>insert into business_analytic.report.orenda values(2026, 1, '2022102700', 'Рівне,Фора-584 Теліги,21А(Сам)', NULL, 0, 'TO');</v>
      </c>
      <c r="N386" t="str">
        <f t="shared" si="22"/>
        <v>insert into business_analytic.report.orenda values(2026, 2, '2022102700', 'Рівне,Фора-584 Теліги,21А(Сам)', NULL, 0, 'TO');</v>
      </c>
      <c r="O386" t="str">
        <f t="shared" si="22"/>
        <v>insert into business_analytic.report.orenda values(2026, 3, '2022102700', 'Рівне,Фора-584 Теліги,21А(Сам)', NULL, 3204856.66, 'TO');</v>
      </c>
      <c r="P386" t="str">
        <f t="shared" si="23"/>
        <v>insert into business_analytic.report.orenda values(2026, 4, '2022102700', 'Рівне,Фора-584 Теліги,21А(Сам)', NULL, 3688543.83, 'TO');</v>
      </c>
      <c r="Q386" t="str">
        <f t="shared" si="24"/>
        <v>insert into business_analytic.report.orenda values(2026, 5, '2022102700', 'Рівне,Фора-584 Теліги,21А(Сам)', NULL, 3846431.61, 'TO');</v>
      </c>
    </row>
    <row r="387" spans="1:17" x14ac:dyDescent="0.3">
      <c r="A387" t="s">
        <v>244</v>
      </c>
      <c r="B387" t="s">
        <v>616</v>
      </c>
      <c r="C387" t="s">
        <v>893</v>
      </c>
      <c r="D387" s="2"/>
      <c r="E387" s="2">
        <v>494455.37</v>
      </c>
      <c r="F387" s="2">
        <v>4497072.79</v>
      </c>
      <c r="G387" s="2">
        <v>4386983.82</v>
      </c>
      <c r="H387" s="2">
        <v>4212019.9800000004</v>
      </c>
      <c r="I387" s="2">
        <v>4008240.9</v>
      </c>
      <c r="J387" s="2">
        <v>1454867.31</v>
      </c>
      <c r="K387" s="2">
        <v>19053640.170000002</v>
      </c>
      <c r="L387" s="2"/>
      <c r="M387" t="str">
        <f t="shared" si="21"/>
        <v>insert into business_analytic.report.orenda values(2026, 1, '2022102800', 'Сарни,Фора-581 Польська,1(Сам)', NULL, 0, 'TO');</v>
      </c>
      <c r="N387" t="str">
        <f t="shared" si="22"/>
        <v>insert into business_analytic.report.orenda values(2026, 2, '2022102800', 'Сарни,Фора-581 Польська,1(Сам)', NULL, 494455.37, 'TO');</v>
      </c>
      <c r="O387" t="str">
        <f t="shared" si="22"/>
        <v>insert into business_analytic.report.orenda values(2026, 3, '2022102800', 'Сарни,Фора-581 Польська,1(Сам)', NULL, 4497072.79, 'TO');</v>
      </c>
      <c r="P387" t="str">
        <f t="shared" si="23"/>
        <v>insert into business_analytic.report.orenda values(2026, 4, '2022102800', 'Сарни,Фора-581 Польська,1(Сам)', NULL, 4386983.82, 'TO');</v>
      </c>
      <c r="Q387" t="str">
        <f t="shared" si="24"/>
        <v>insert into business_analytic.report.orenda values(2026, 5, '2022102800', 'Сарни,Фора-581 Польська,1(Сам)', NULL, 4212019.98, 'TO');</v>
      </c>
    </row>
    <row r="388" spans="1:17" x14ac:dyDescent="0.3">
      <c r="A388" t="s">
        <v>245</v>
      </c>
      <c r="B388" t="s">
        <v>617</v>
      </c>
      <c r="C388" t="s">
        <v>893</v>
      </c>
      <c r="D388" s="2"/>
      <c r="E388" s="2">
        <v>823316.65</v>
      </c>
      <c r="F388" s="2">
        <v>8108831.4299999997</v>
      </c>
      <c r="G388" s="2">
        <v>7896130.6899999995</v>
      </c>
      <c r="H388" s="2">
        <v>7376201.2400000002</v>
      </c>
      <c r="I388" s="2">
        <v>7487555.9900000002</v>
      </c>
      <c r="J388" s="2">
        <v>2897496.71</v>
      </c>
      <c r="K388" s="2">
        <v>34589532.710000001</v>
      </c>
      <c r="L388" s="2"/>
      <c r="M388" t="str">
        <f t="shared" si="21"/>
        <v>insert into business_analytic.report.orenda values(2026, 1, '2022102900', 'Сарни,Фора-582 Європейська,31(Сам)', NULL, 0, 'TO');</v>
      </c>
      <c r="N388" t="str">
        <f t="shared" si="22"/>
        <v>insert into business_analytic.report.orenda values(2026, 2, '2022102900', 'Сарни,Фора-582 Європейська,31(Сам)', NULL, 823316.65, 'TO');</v>
      </c>
      <c r="O388" t="str">
        <f t="shared" si="22"/>
        <v>insert into business_analytic.report.orenda values(2026, 3, '2022102900', 'Сарни,Фора-582 Європейська,31(Сам)', NULL, 8108831.43, 'TO');</v>
      </c>
      <c r="P388" t="str">
        <f t="shared" si="23"/>
        <v>insert into business_analytic.report.orenda values(2026, 4, '2022102900', 'Сарни,Фора-582 Європейська,31(Сам)', NULL, 7896130.69, 'TO');</v>
      </c>
      <c r="Q388" t="str">
        <f t="shared" si="24"/>
        <v>insert into business_analytic.report.orenda values(2026, 5, '2022102900', 'Сарни,Фора-582 Європейська,31(Сам)', NULL, 7376201.24, 'TO');</v>
      </c>
    </row>
    <row r="389" spans="1:17" x14ac:dyDescent="0.3">
      <c r="A389" t="s">
        <v>1224</v>
      </c>
      <c r="B389" t="s">
        <v>1225</v>
      </c>
      <c r="D389" s="2"/>
      <c r="E389" s="2"/>
      <c r="F389" s="2"/>
      <c r="G389" s="2">
        <v>4778396.7799999993</v>
      </c>
      <c r="H389" s="2">
        <v>7858468.6200000001</v>
      </c>
      <c r="I389" s="2">
        <v>7520149.5499999998</v>
      </c>
      <c r="J389" s="2">
        <v>2923045.82</v>
      </c>
      <c r="K389" s="2">
        <v>23080060.77</v>
      </c>
      <c r="L389" s="2"/>
      <c r="M389" t="str">
        <f t="shared" si="21"/>
        <v>insert into business_analytic.report.orenda values(2026, 1, '2022103000', 'Рокитне,Фора-587 Шевченка,9(Сам)', NULL, 0, 'TO');</v>
      </c>
      <c r="N389" t="str">
        <f t="shared" si="22"/>
        <v>insert into business_analytic.report.orenda values(2026, 2, '2022103000', 'Рокитне,Фора-587 Шевченка,9(Сам)', NULL, 0, 'TO');</v>
      </c>
      <c r="O389" t="str">
        <f t="shared" si="22"/>
        <v>insert into business_analytic.report.orenda values(2026, 3, '2022103000', 'Рокитне,Фора-587 Шевченка,9(Сам)', NULL, 0, 'TO');</v>
      </c>
      <c r="P389" t="str">
        <f t="shared" si="23"/>
        <v>insert into business_analytic.report.orenda values(2026, 4, '2022103000', 'Рокитне,Фора-587 Шевченка,9(Сам)', NULL, 4778396.78, 'TO');</v>
      </c>
      <c r="Q389" t="str">
        <f t="shared" si="24"/>
        <v>insert into business_analytic.report.orenda values(2026, 5, '2022103000', 'Рокитне,Фора-587 Шевченка,9(Сам)', NULL, 7858468.62, 'TO');</v>
      </c>
    </row>
    <row r="390" spans="1:17" x14ac:dyDescent="0.3">
      <c r="A390" t="s">
        <v>1226</v>
      </c>
      <c r="B390" t="s">
        <v>1227</v>
      </c>
      <c r="D390" s="2"/>
      <c r="E390" s="2"/>
      <c r="F390" s="2"/>
      <c r="G390" s="2">
        <v>3130191.65</v>
      </c>
      <c r="H390" s="2">
        <v>3757868.9499999997</v>
      </c>
      <c r="I390" s="2">
        <v>3751540.56</v>
      </c>
      <c r="J390" s="2">
        <v>1400248.79</v>
      </c>
      <c r="K390" s="2">
        <v>12039849.949999999</v>
      </c>
      <c r="L390" s="2"/>
      <c r="M390" t="str">
        <f t="shared" si="21"/>
        <v>insert into business_analytic.report.orenda values(2026, 1, '2022103100', 'Дубровиця,Фора-589 Шевченка,55(Сам)', NULL, 0, 'TO');</v>
      </c>
      <c r="N390" t="str">
        <f t="shared" si="22"/>
        <v>insert into business_analytic.report.orenda values(2026, 2, '2022103100', 'Дубровиця,Фора-589 Шевченка,55(Сам)', NULL, 0, 'TO');</v>
      </c>
      <c r="O390" t="str">
        <f t="shared" si="22"/>
        <v>insert into business_analytic.report.orenda values(2026, 3, '2022103100', 'Дубровиця,Фора-589 Шевченка,55(Сам)', NULL, 0, 'TO');</v>
      </c>
      <c r="P390" t="str">
        <f t="shared" si="23"/>
        <v>insert into business_analytic.report.orenda values(2026, 4, '2022103100', 'Дубровиця,Фора-589 Шевченка,55(Сам)', NULL, 3130191.65, 'TO');</v>
      </c>
      <c r="Q390" t="str">
        <f t="shared" si="24"/>
        <v>insert into business_analytic.report.orenda values(2026, 5, '2022103100', 'Дубровиця,Фора-589 Шевченка,55(Сам)', NULL, 3757868.95, 'TO');</v>
      </c>
    </row>
    <row r="391" spans="1:17" x14ac:dyDescent="0.3">
      <c r="A391" t="s">
        <v>1228</v>
      </c>
      <c r="B391" t="s">
        <v>1229</v>
      </c>
      <c r="D391" s="2"/>
      <c r="E391" s="2"/>
      <c r="F391" s="2"/>
      <c r="G391" s="2">
        <v>5525785.4799999995</v>
      </c>
      <c r="H391" s="2">
        <v>6283433.2799999993</v>
      </c>
      <c r="I391" s="2">
        <v>5799174.6899999995</v>
      </c>
      <c r="J391" s="2">
        <v>2332754.88</v>
      </c>
      <c r="K391" s="2">
        <v>19941148.329999998</v>
      </c>
      <c r="L391" s="2"/>
      <c r="M391" t="str">
        <f t="shared" si="21"/>
        <v>insert into business_analytic.report.orenda values(2026, 1, '2022103200', 'Зарічне,Фора-590 Фестивальн,18А(Сам)', NULL, 0, 'TO');</v>
      </c>
      <c r="N391" t="str">
        <f t="shared" si="22"/>
        <v>insert into business_analytic.report.orenda values(2026, 2, '2022103200', 'Зарічне,Фора-590 Фестивальн,18А(Сам)', NULL, 0, 'TO');</v>
      </c>
      <c r="O391" t="str">
        <f t="shared" si="22"/>
        <v>insert into business_analytic.report.orenda values(2026, 3, '2022103200', 'Зарічне,Фора-590 Фестивальн,18А(Сам)', NULL, 0, 'TO');</v>
      </c>
      <c r="P391" t="str">
        <f t="shared" si="23"/>
        <v>insert into business_analytic.report.orenda values(2026, 4, '2022103200', 'Зарічне,Фора-590 Фестивальн,18А(Сам)', NULL, 5525785.48, 'TO');</v>
      </c>
      <c r="Q391" t="str">
        <f t="shared" si="24"/>
        <v>insert into business_analytic.report.orenda values(2026, 5, '2022103200', 'Зарічне,Фора-590 Фестивальн,18А(Сам)', NULL, 6283433.28, 'TO');</v>
      </c>
    </row>
    <row r="392" spans="1:17" x14ac:dyDescent="0.3">
      <c r="A392" t="s">
        <v>246</v>
      </c>
      <c r="B392" t="s">
        <v>618</v>
      </c>
      <c r="C392" t="s">
        <v>828</v>
      </c>
      <c r="D392" s="2">
        <v>11778092.42</v>
      </c>
      <c r="E392" s="2">
        <v>12345264.870000001</v>
      </c>
      <c r="F392" s="2">
        <v>14907675.700000001</v>
      </c>
      <c r="G392" s="2">
        <v>14255929.83</v>
      </c>
      <c r="H392" s="2">
        <v>14442609.59</v>
      </c>
      <c r="I392" s="2">
        <v>14069545.339999998</v>
      </c>
      <c r="J392" s="2">
        <v>5399539.0099999998</v>
      </c>
      <c r="K392" s="2">
        <v>87198656.75999999</v>
      </c>
      <c r="L392" s="2"/>
      <c r="M392" t="str">
        <f t="shared" si="21"/>
        <v>insert into business_analytic.report.orenda values(2026, 1, '2022300100', 'Кам'янка-Бузька,Фора-502 Тютюнника,7Б', NULL, 11778092.42, 'TO');</v>
      </c>
      <c r="N392" t="str">
        <f t="shared" si="22"/>
        <v>insert into business_analytic.report.orenda values(2026, 2, '2022300100', 'Кам'янка-Бузька,Фора-502 Тютюнника,7Б', NULL, 12345264.87, 'TO');</v>
      </c>
      <c r="O392" t="str">
        <f t="shared" si="22"/>
        <v>insert into business_analytic.report.orenda values(2026, 3, '2022300100', 'Кам'янка-Бузька,Фора-502 Тютюнника,7Б', NULL, 14907675.7, 'TO');</v>
      </c>
      <c r="P392" t="str">
        <f t="shared" si="23"/>
        <v>insert into business_analytic.report.orenda values(2026, 4, '2022300100', 'Кам'янка-Бузька,Фора-502 Тютюнника,7Б', NULL, 14255929.83, 'TO');</v>
      </c>
      <c r="Q392" t="str">
        <f t="shared" si="24"/>
        <v>insert into business_analytic.report.orenda values(2026, 5, '2022300100', 'Кам'янка-Бузька,Фора-502 Тютюнника,7Б', NULL, 14442609.59, 'TO');</v>
      </c>
    </row>
    <row r="393" spans="1:17" x14ac:dyDescent="0.3">
      <c r="A393" t="s">
        <v>247</v>
      </c>
      <c r="B393" t="s">
        <v>619</v>
      </c>
      <c r="C393" t="s">
        <v>427</v>
      </c>
      <c r="D393" s="2">
        <v>11270268.199999997</v>
      </c>
      <c r="E393" s="2">
        <v>10177956.25</v>
      </c>
      <c r="F393" s="2">
        <v>11332302.199999999</v>
      </c>
      <c r="G393" s="2">
        <v>11918167.57</v>
      </c>
      <c r="H393" s="2">
        <v>12578480.389999999</v>
      </c>
      <c r="I393" s="2">
        <v>12042634.6</v>
      </c>
      <c r="J393" s="2">
        <v>4486569.5299999993</v>
      </c>
      <c r="K393" s="2">
        <v>73806378.739999995</v>
      </c>
      <c r="L393" s="2"/>
      <c r="M393" t="str">
        <f t="shared" ref="M393:N427" si="25">"insert into business_analytic.report.orenda values("&amp;2026&amp;", "&amp;D$7&amp;", '"&amp;$A393&amp;"', '"&amp;$B393&amp;"', "&amp;"NULL"&amp;", "&amp;IF(D393="",0,D393)&amp;", "&amp;"'TO'"&amp;");"</f>
        <v>insert into business_analytic.report.orenda values(2026, 1, '2022300200', 'Миколаїв,Фора-511 Чайковського,18', NULL, 11270268.2, 'TO');</v>
      </c>
      <c r="N393" t="str">
        <f t="shared" ref="N393:O426" si="26">"insert into business_analytic.report.orenda values("&amp;2026&amp;", "&amp;E$7&amp;", '"&amp;$A393&amp;"', '"&amp;$B393&amp;"', "&amp;"NULL"&amp;", "&amp;IF(E393="",0,E393)&amp;", "&amp;"'TO'"&amp;");"</f>
        <v>insert into business_analytic.report.orenda values(2026, 2, '2022300200', 'Миколаїв,Фора-511 Чайковського,18', NULL, 10177956.25, 'TO');</v>
      </c>
      <c r="O393" t="str">
        <f t="shared" si="26"/>
        <v>insert into business_analytic.report.orenda values(2026, 3, '2022300200', 'Миколаїв,Фора-511 Чайковського,18', NULL, 11332302.2, 'TO');</v>
      </c>
      <c r="P393" t="str">
        <f t="shared" ref="P393:P424" si="27">"insert into business_analytic.report.orenda values("&amp;2026&amp;", "&amp;G$7&amp;", '"&amp;$A393&amp;"', '"&amp;$B393&amp;"', "&amp;"NULL"&amp;", "&amp;IF(G393="",0,G393)&amp;", "&amp;"'TO'"&amp;");"</f>
        <v>insert into business_analytic.report.orenda values(2026, 4, '2022300200', 'Миколаїв,Фора-511 Чайковського,18', NULL, 11918167.57, 'TO');</v>
      </c>
      <c r="Q393" t="str">
        <f t="shared" ref="Q393:Q431" si="28">"insert into business_analytic.report.orenda values("&amp;2026&amp;", "&amp;H$7&amp;", '"&amp;$A393&amp;"', '"&amp;$B393&amp;"', "&amp;"NULL"&amp;", "&amp;IF(H393="",0,H393)&amp;", "&amp;"'TO'"&amp;");"</f>
        <v>insert into business_analytic.report.orenda values(2026, 5, '2022300200', 'Миколаїв,Фора-511 Чайковського,18', NULL, 12578480.39, 'TO');</v>
      </c>
    </row>
    <row r="394" spans="1:17" x14ac:dyDescent="0.3">
      <c r="A394" t="s">
        <v>91</v>
      </c>
      <c r="B394" t="s">
        <v>620</v>
      </c>
      <c r="C394" t="s">
        <v>834</v>
      </c>
      <c r="D394" s="2">
        <v>9000024.6500000004</v>
      </c>
      <c r="E394" s="2">
        <v>8011059.0699999994</v>
      </c>
      <c r="F394" s="2">
        <v>8731842.1399999987</v>
      </c>
      <c r="G394" s="2">
        <v>9274633.6699999981</v>
      </c>
      <c r="H394" s="2">
        <v>10554594.789999999</v>
      </c>
      <c r="I394" s="2">
        <v>10061312.829999998</v>
      </c>
      <c r="J394" s="2">
        <v>4058907.31</v>
      </c>
      <c r="K394" s="2">
        <v>59692374.460000001</v>
      </c>
      <c r="L394" s="2"/>
      <c r="M394" t="str">
        <f t="shared" si="25"/>
        <v>insert into business_analytic.report.orenda values(2026, 1, '2022400300', 'Бережани,Фора-509 Тернопільська,9', NULL, 9000024.65, 'TO');</v>
      </c>
      <c r="N394" t="str">
        <f t="shared" si="26"/>
        <v>insert into business_analytic.report.orenda values(2026, 2, '2022400300', 'Бережани,Фора-509 Тернопільська,9', NULL, 8011059.07, 'TO');</v>
      </c>
      <c r="O394" t="str">
        <f t="shared" si="26"/>
        <v>insert into business_analytic.report.orenda values(2026, 3, '2022400300', 'Бережани,Фора-509 Тернопільська,9', NULL, 8731842.14, 'TO');</v>
      </c>
      <c r="P394" t="str">
        <f t="shared" si="27"/>
        <v>insert into business_analytic.report.orenda values(2026, 4, '2022400300', 'Бережани,Фора-509 Тернопільська,9', NULL, 9274633.67, 'TO');</v>
      </c>
      <c r="Q394" t="str">
        <f t="shared" si="28"/>
        <v>insert into business_analytic.report.orenda values(2026, 5, '2022400300', 'Бережани,Фора-509 Тернопільська,9', NULL, 10554594.79, 'TO');</v>
      </c>
    </row>
    <row r="395" spans="1:17" x14ac:dyDescent="0.3">
      <c r="A395" t="s">
        <v>248</v>
      </c>
      <c r="B395" t="s">
        <v>621</v>
      </c>
      <c r="C395" t="s">
        <v>894</v>
      </c>
      <c r="D395" s="2">
        <v>6500806.25</v>
      </c>
      <c r="E395" s="2">
        <v>6013930.6099999994</v>
      </c>
      <c r="F395" s="2">
        <v>7093257.7399999993</v>
      </c>
      <c r="G395" s="2">
        <v>7602141.5599999996</v>
      </c>
      <c r="H395" s="2">
        <v>7924085.8999999985</v>
      </c>
      <c r="I395" s="2">
        <v>7941105.8099999987</v>
      </c>
      <c r="J395" s="2">
        <v>3020476.0599999996</v>
      </c>
      <c r="K395" s="2">
        <v>46095803.929999992</v>
      </c>
      <c r="L395" s="2"/>
      <c r="M395" t="str">
        <f t="shared" si="25"/>
        <v>insert into business_analytic.report.orenda values(2026, 1, '2022800100', 'Старокостянтинів,Фора-239 Миру,19/2', NULL, 6500806.25, 'TO');</v>
      </c>
      <c r="N395" t="str">
        <f t="shared" si="26"/>
        <v>insert into business_analytic.report.orenda values(2026, 2, '2022800100', 'Старокостянтинів,Фора-239 Миру,19/2', NULL, 6013930.61, 'TO');</v>
      </c>
      <c r="O395" t="str">
        <f t="shared" si="26"/>
        <v>insert into business_analytic.report.orenda values(2026, 3, '2022800100', 'Старокостянтинів,Фора-239 Миру,19/2', NULL, 7093257.74, 'TO');</v>
      </c>
      <c r="P395" t="str">
        <f t="shared" si="27"/>
        <v>insert into business_analytic.report.orenda values(2026, 4, '2022800100', 'Старокостянтинів,Фора-239 Миру,19/2', NULL, 7602141.56, 'TO');</v>
      </c>
      <c r="Q395" t="str">
        <f t="shared" si="28"/>
        <v>insert into business_analytic.report.orenda values(2026, 5, '2022800100', 'Старокостянтинів,Фора-239 Миру,19/2', NULL, 7924085.9, 'TO');</v>
      </c>
    </row>
    <row r="396" spans="1:17" x14ac:dyDescent="0.3">
      <c r="A396" t="s">
        <v>249</v>
      </c>
      <c r="B396" t="s">
        <v>622</v>
      </c>
      <c r="C396" t="s">
        <v>895</v>
      </c>
      <c r="D396" s="2">
        <v>7564764.2299999995</v>
      </c>
      <c r="E396" s="2">
        <v>7207736.5199999996</v>
      </c>
      <c r="F396" s="2">
        <v>8245184.1799999997</v>
      </c>
      <c r="G396" s="2">
        <v>7808958.7399999993</v>
      </c>
      <c r="H396" s="2">
        <v>6959793.4400000004</v>
      </c>
      <c r="I396" s="2">
        <v>7059277.919999999</v>
      </c>
      <c r="J396" s="2">
        <v>2693705.98</v>
      </c>
      <c r="K396" s="2">
        <v>47539421.010000005</v>
      </c>
      <c r="L396" s="2"/>
      <c r="M396" t="str">
        <f t="shared" si="25"/>
        <v>insert into business_analytic.report.orenda values(2026, 1, '2022800700', 'Полонне,Фора-528 Лесі Українки,174Б', NULL, 7564764.23, 'TO');</v>
      </c>
      <c r="N396" t="str">
        <f t="shared" si="26"/>
        <v>insert into business_analytic.report.orenda values(2026, 2, '2022800700', 'Полонне,Фора-528 Лесі Українки,174Б', NULL, 7207736.52, 'TO');</v>
      </c>
      <c r="O396" t="str">
        <f t="shared" si="26"/>
        <v>insert into business_analytic.report.orenda values(2026, 3, '2022800700', 'Полонне,Фора-528 Лесі Українки,174Б', NULL, 8245184.18, 'TO');</v>
      </c>
      <c r="P396" t="str">
        <f t="shared" si="27"/>
        <v>insert into business_analytic.report.orenda values(2026, 4, '2022800700', 'Полонне,Фора-528 Лесі Українки,174Б', NULL, 7808958.74, 'TO');</v>
      </c>
      <c r="Q396" t="str">
        <f t="shared" si="28"/>
        <v>insert into business_analytic.report.orenda values(2026, 5, '2022800700', 'Полонне,Фора-528 Лесі Українки,174Б', NULL, 6959793.44, 'TO');</v>
      </c>
    </row>
    <row r="397" spans="1:17" x14ac:dyDescent="0.3">
      <c r="A397" t="s">
        <v>92</v>
      </c>
      <c r="B397" t="s">
        <v>623</v>
      </c>
      <c r="C397" t="s">
        <v>896</v>
      </c>
      <c r="D397" s="2">
        <v>7580094.6100000003</v>
      </c>
      <c r="E397" s="2">
        <v>5490943.4799999995</v>
      </c>
      <c r="F397" s="2">
        <v>7264288.0900000008</v>
      </c>
      <c r="G397" s="2">
        <v>7667499.209999999</v>
      </c>
      <c r="H397" s="2">
        <v>7471869.3700000001</v>
      </c>
      <c r="I397" s="2">
        <v>7162564.7699999996</v>
      </c>
      <c r="J397" s="2">
        <v>2860641.2499999995</v>
      </c>
      <c r="K397" s="2">
        <v>45497900.779999994</v>
      </c>
      <c r="L397" s="2"/>
      <c r="M397" t="str">
        <f t="shared" si="25"/>
        <v>insert into business_analytic.report.orenda values(2026, 1, '2022800800', 'Могилів-Подільський,Фора-508 Стависьк,43', NULL, 7580094.61, 'TO');</v>
      </c>
      <c r="N397" t="str">
        <f t="shared" si="26"/>
        <v>insert into business_analytic.report.orenda values(2026, 2, '2022800800', 'Могилів-Подільський,Фора-508 Стависьк,43', NULL, 5490943.48, 'TO');</v>
      </c>
      <c r="O397" t="str">
        <f t="shared" si="26"/>
        <v>insert into business_analytic.report.orenda values(2026, 3, '2022800800', 'Могилів-Подільський,Фора-508 Стависьк,43', NULL, 7264288.09, 'TO');</v>
      </c>
      <c r="P397" t="str">
        <f t="shared" si="27"/>
        <v>insert into business_analytic.report.orenda values(2026, 4, '2022800800', 'Могилів-Подільський,Фора-508 Стависьк,43', NULL, 7667499.21, 'TO');</v>
      </c>
      <c r="Q397" t="str">
        <f t="shared" si="28"/>
        <v>insert into business_analytic.report.orenda values(2026, 5, '2022800800', 'Могилів-Подільський,Фора-508 Стависьк,43', NULL, 7471869.37, 'TO');</v>
      </c>
    </row>
    <row r="398" spans="1:17" x14ac:dyDescent="0.3">
      <c r="A398" t="s">
        <v>93</v>
      </c>
      <c r="B398" t="s">
        <v>624</v>
      </c>
      <c r="C398" t="s">
        <v>878</v>
      </c>
      <c r="D398" s="2">
        <v>7279346.9299999997</v>
      </c>
      <c r="E398" s="2">
        <v>6267808.7400000002</v>
      </c>
      <c r="F398" s="2">
        <v>6451304.1899999995</v>
      </c>
      <c r="G398" s="2">
        <v>6724649.3799999999</v>
      </c>
      <c r="H398" s="2">
        <v>6911501.1099999994</v>
      </c>
      <c r="I398" s="2">
        <v>6530078.0699999994</v>
      </c>
      <c r="J398" s="2">
        <v>2537724.34</v>
      </c>
      <c r="K398" s="2">
        <v>42702412.759999998</v>
      </c>
      <c r="L398" s="2"/>
      <c r="M398" t="str">
        <f t="shared" si="25"/>
        <v>insert into business_analytic.report.orenda values(2026, 1, '2022800900', 'Дунаївці,Фора-551 Шевченка,57', NULL, 7279346.93, 'TO');</v>
      </c>
      <c r="N398" t="str">
        <f t="shared" si="26"/>
        <v>insert into business_analytic.report.orenda values(2026, 2, '2022800900', 'Дунаївці,Фора-551 Шевченка,57', NULL, 6267808.74, 'TO');</v>
      </c>
      <c r="O398" t="str">
        <f t="shared" si="26"/>
        <v>insert into business_analytic.report.orenda values(2026, 3, '2022800900', 'Дунаївці,Фора-551 Шевченка,57', NULL, 6451304.19, 'TO');</v>
      </c>
      <c r="P398" t="str">
        <f t="shared" si="27"/>
        <v>insert into business_analytic.report.orenda values(2026, 4, '2022800900', 'Дунаївці,Фора-551 Шевченка,57', NULL, 6724649.38, 'TO');</v>
      </c>
      <c r="Q398" t="str">
        <f t="shared" si="28"/>
        <v>insert into business_analytic.report.orenda values(2026, 5, '2022800900', 'Дунаївці,Фора-551 Шевченка,57', NULL, 6911501.11, 'TO');</v>
      </c>
    </row>
    <row r="399" spans="1:17" x14ac:dyDescent="0.3">
      <c r="A399" t="s">
        <v>250</v>
      </c>
      <c r="B399" t="s">
        <v>625</v>
      </c>
      <c r="C399" t="s">
        <v>897</v>
      </c>
      <c r="D399" s="2">
        <v>9158616.1899999995</v>
      </c>
      <c r="E399" s="2">
        <v>7329710.0300000003</v>
      </c>
      <c r="F399" s="2">
        <v>10275719.449999997</v>
      </c>
      <c r="G399" s="2">
        <v>11081361.689999999</v>
      </c>
      <c r="H399" s="2">
        <v>11784183.739999998</v>
      </c>
      <c r="I399" s="2">
        <v>11856767.82</v>
      </c>
      <c r="J399" s="2">
        <v>4689640.24</v>
      </c>
      <c r="K399" s="2">
        <v>66175999.159999996</v>
      </c>
      <c r="L399" s="2"/>
      <c r="M399" t="str">
        <f t="shared" si="25"/>
        <v>insert into business_analytic.report.orenda values(2026, 1, '2025400500', 'Гребінка,Фора-486 Магістральна,49', NULL, 9158616.19, 'TO');</v>
      </c>
      <c r="N399" t="str">
        <f t="shared" si="26"/>
        <v>insert into business_analytic.report.orenda values(2026, 2, '2025400500', 'Гребінка,Фора-486 Магістральна,49', NULL, 7329710.03, 'TO');</v>
      </c>
      <c r="O399" t="str">
        <f t="shared" si="26"/>
        <v>insert into business_analytic.report.orenda values(2026, 3, '2025400500', 'Гребінка,Фора-486 Магістральна,49', NULL, 10275719.45, 'TO');</v>
      </c>
      <c r="P399" t="str">
        <f t="shared" si="27"/>
        <v>insert into business_analytic.report.orenda values(2026, 4, '2025400500', 'Гребінка,Фора-486 Магістральна,49', NULL, 11081361.69, 'TO');</v>
      </c>
      <c r="Q399" t="str">
        <f t="shared" si="28"/>
        <v>insert into business_analytic.report.orenda values(2026, 5, '2025400500', 'Гребінка,Фора-486 Магістральна,49', NULL, 11784183.74, 'TO');</v>
      </c>
    </row>
    <row r="400" spans="1:17" x14ac:dyDescent="0.3">
      <c r="A400" t="s">
        <v>251</v>
      </c>
      <c r="B400" t="s">
        <v>626</v>
      </c>
      <c r="C400" t="s">
        <v>898</v>
      </c>
      <c r="D400" s="2">
        <v>13436418.699999999</v>
      </c>
      <c r="E400" s="2">
        <v>12153376.869999999</v>
      </c>
      <c r="F400" s="2">
        <v>14117555.099999998</v>
      </c>
      <c r="G400" s="2">
        <v>14804895.25</v>
      </c>
      <c r="H400" s="2">
        <v>15612742.5</v>
      </c>
      <c r="I400" s="2">
        <v>15558265.299999999</v>
      </c>
      <c r="J400" s="2">
        <v>6131276.6200000001</v>
      </c>
      <c r="K400" s="2">
        <v>91814530.340000004</v>
      </c>
      <c r="L400" s="2"/>
      <c r="M400" t="str">
        <f t="shared" si="25"/>
        <v>insert into business_analytic.report.orenda values(2026, 1, '2025400600', 'Пирятин,Фора-487 Майдан Незалежності,2В', NULL, 13436418.7, 'TO');</v>
      </c>
      <c r="N400" t="str">
        <f t="shared" si="26"/>
        <v>insert into business_analytic.report.orenda values(2026, 2, '2025400600', 'Пирятин,Фора-487 Майдан Незалежності,2В', NULL, 12153376.87, 'TO');</v>
      </c>
      <c r="O400" t="str">
        <f t="shared" si="26"/>
        <v>insert into business_analytic.report.orenda values(2026, 3, '2025400600', 'Пирятин,Фора-487 Майдан Незалежності,2В', NULL, 14117555.1, 'TO');</v>
      </c>
      <c r="P400" t="str">
        <f t="shared" si="27"/>
        <v>insert into business_analytic.report.orenda values(2026, 4, '2025400600', 'Пирятин,Фора-487 Майдан Незалежності,2В', NULL, 14804895.25, 'TO');</v>
      </c>
      <c r="Q400" t="str">
        <f t="shared" si="28"/>
        <v>insert into business_analytic.report.orenda values(2026, 5, '2025400600', 'Пирятин,Фора-487 Майдан Незалежності,2В', NULL, 15612742.5, 'TO');</v>
      </c>
    </row>
    <row r="401" spans="1:17" x14ac:dyDescent="0.3">
      <c r="A401" t="s">
        <v>252</v>
      </c>
      <c r="B401" t="s">
        <v>627</v>
      </c>
      <c r="C401" t="s">
        <v>899</v>
      </c>
      <c r="D401" s="2">
        <v>19738321.41</v>
      </c>
      <c r="E401" s="2">
        <v>18173298.579999998</v>
      </c>
      <c r="F401" s="2">
        <v>20827748.340000004</v>
      </c>
      <c r="G401" s="2">
        <v>20492686.509999998</v>
      </c>
      <c r="H401" s="2">
        <v>21397085.270000003</v>
      </c>
      <c r="I401" s="2">
        <v>20570668.280000001</v>
      </c>
      <c r="J401" s="2">
        <v>7696509.8300000001</v>
      </c>
      <c r="K401" s="2">
        <v>128896318.22</v>
      </c>
      <c r="L401" s="2"/>
      <c r="M401" t="str">
        <f t="shared" si="25"/>
        <v>insert into business_analytic.report.orenda values(2026, 1, '2025500300', 'Ромни,Фора-406 Коржівська,100', NULL, 19738321.41, 'TO');</v>
      </c>
      <c r="N401" t="str">
        <f t="shared" si="26"/>
        <v>insert into business_analytic.report.orenda values(2026, 2, '2025500300', 'Ромни,Фора-406 Коржівська,100', NULL, 18173298.58, 'TO');</v>
      </c>
      <c r="O401" t="str">
        <f t="shared" si="26"/>
        <v>insert into business_analytic.report.orenda values(2026, 3, '2025500300', 'Ромни,Фора-406 Коржівська,100', NULL, 20827748.34, 'TO');</v>
      </c>
      <c r="P401" t="str">
        <f t="shared" si="27"/>
        <v>insert into business_analytic.report.orenda values(2026, 4, '2025500300', 'Ромни,Фора-406 Коржівська,100', NULL, 20492686.51, 'TO');</v>
      </c>
      <c r="Q401" t="str">
        <f t="shared" si="28"/>
        <v>insert into business_analytic.report.orenda values(2026, 5, '2025500300', 'Ромни,Фора-406 Коржівська,100', NULL, 21397085.27, 'TO');</v>
      </c>
    </row>
    <row r="402" spans="1:17" x14ac:dyDescent="0.3">
      <c r="A402" t="s">
        <v>412</v>
      </c>
      <c r="B402" t="s">
        <v>1189</v>
      </c>
      <c r="C402" t="s">
        <v>1190</v>
      </c>
      <c r="D402" s="2">
        <v>1506649.14</v>
      </c>
      <c r="E402" s="2">
        <v>1420101.3199999998</v>
      </c>
      <c r="F402" s="2">
        <v>1697087.3099999998</v>
      </c>
      <c r="G402" s="2">
        <v>1685819.3599999999</v>
      </c>
      <c r="H402" s="2">
        <v>1871613.96</v>
      </c>
      <c r="I402" s="2">
        <v>1833929.0099999998</v>
      </c>
      <c r="J402" s="2">
        <v>656478.90999999992</v>
      </c>
      <c r="K402" s="2">
        <v>10671679.01</v>
      </c>
      <c r="L402" s="2"/>
      <c r="M402" t="str">
        <f t="shared" si="25"/>
        <v>insert into business_analytic.report.orenda values(2026, 1, '2027100200', 'Київ,Фора-431 Лісовий,15', NULL, 1506649.14, 'TO');</v>
      </c>
      <c r="N402" t="str">
        <f t="shared" si="26"/>
        <v>insert into business_analytic.report.orenda values(2026, 2, '2027100200', 'Київ,Фора-431 Лісовий,15', NULL, 1420101.32, 'TO');</v>
      </c>
      <c r="O402" t="str">
        <f t="shared" si="26"/>
        <v>insert into business_analytic.report.orenda values(2026, 3, '2027100200', 'Київ,Фора-431 Лісовий,15', NULL, 1697087.31, 'TO');</v>
      </c>
      <c r="P402" t="str">
        <f t="shared" si="27"/>
        <v>insert into business_analytic.report.orenda values(2026, 4, '2027100200', 'Київ,Фора-431 Лісовий,15', NULL, 1685819.36, 'TO');</v>
      </c>
      <c r="Q402" t="str">
        <f t="shared" si="28"/>
        <v>insert into business_analytic.report.orenda values(2026, 5, '2027100200', 'Київ,Фора-431 Лісовий,15', NULL, 1871613.96, 'TO');</v>
      </c>
    </row>
    <row r="403" spans="1:17" x14ac:dyDescent="0.3">
      <c r="A403" t="s">
        <v>253</v>
      </c>
      <c r="B403" t="s">
        <v>657</v>
      </c>
      <c r="C403" t="s">
        <v>900</v>
      </c>
      <c r="D403" s="2">
        <v>1207917.3599999999</v>
      </c>
      <c r="E403" s="2">
        <v>1182249.9099999999</v>
      </c>
      <c r="F403" s="2">
        <v>1490315.67</v>
      </c>
      <c r="G403" s="2">
        <v>1453616.7899999998</v>
      </c>
      <c r="H403" s="2">
        <v>1784907.1699999997</v>
      </c>
      <c r="I403" s="2">
        <v>1741866.9300000002</v>
      </c>
      <c r="J403" s="2">
        <v>605397.98</v>
      </c>
      <c r="K403" s="2">
        <v>9466271.8099999987</v>
      </c>
      <c r="L403" s="2"/>
      <c r="M403" t="str">
        <f t="shared" si="25"/>
        <v>insert into business_analytic.report.orenda values(2026, 1, '2027100300', 'Бровари,Фора-432 Чубинського,3', NULL, 1207917.36, 'TO');</v>
      </c>
      <c r="N403" t="str">
        <f t="shared" si="26"/>
        <v>insert into business_analytic.report.orenda values(2026, 2, '2027100300', 'Бровари,Фора-432 Чубинського,3', NULL, 1182249.91, 'TO');</v>
      </c>
      <c r="O403" t="str">
        <f t="shared" si="26"/>
        <v>insert into business_analytic.report.orenda values(2026, 3, '2027100300', 'Бровари,Фора-432 Чубинського,3', NULL, 1490315.67, 'TO');</v>
      </c>
      <c r="P403" t="str">
        <f t="shared" si="27"/>
        <v>insert into business_analytic.report.orenda values(2026, 4, '2027100300', 'Бровари,Фора-432 Чубинського,3', NULL, 1453616.79, 'TO');</v>
      </c>
      <c r="Q403" t="str">
        <f t="shared" si="28"/>
        <v>insert into business_analytic.report.orenda values(2026, 5, '2027100300', 'Бровари,Фора-432 Чубинського,3', NULL, 1784907.17, 'TO');</v>
      </c>
    </row>
    <row r="404" spans="1:17" x14ac:dyDescent="0.3">
      <c r="A404" t="s">
        <v>254</v>
      </c>
      <c r="B404" t="s">
        <v>628</v>
      </c>
      <c r="C404" t="s">
        <v>901</v>
      </c>
      <c r="D404" s="2">
        <v>1746922.8499999999</v>
      </c>
      <c r="E404" s="2">
        <v>1715726.9399999997</v>
      </c>
      <c r="F404" s="2">
        <v>2079594.2599999998</v>
      </c>
      <c r="G404" s="2">
        <v>2064150.26</v>
      </c>
      <c r="H404" s="2">
        <v>2429775.19</v>
      </c>
      <c r="I404" s="2">
        <v>2415686.6199999996</v>
      </c>
      <c r="J404" s="2">
        <v>867974.72</v>
      </c>
      <c r="K404" s="2">
        <v>13319830.84</v>
      </c>
      <c r="L404" s="2"/>
      <c r="M404" t="str">
        <f t="shared" si="25"/>
        <v>insert into business_analytic.report.orenda values(2026, 1, '2027100600', 'Київ,Фора-433 Колоса,1Б', NULL, 1746922.85, 'TO');</v>
      </c>
      <c r="N404" t="str">
        <f t="shared" si="26"/>
        <v>insert into business_analytic.report.orenda values(2026, 2, '2027100600', 'Київ,Фора-433 Колоса,1Б', NULL, 1715726.94, 'TO');</v>
      </c>
      <c r="O404" t="str">
        <f t="shared" si="26"/>
        <v>insert into business_analytic.report.orenda values(2026, 3, '2027100600', 'Київ,Фора-433 Колоса,1Б', NULL, 2079594.26, 'TO');</v>
      </c>
      <c r="P404" t="str">
        <f t="shared" si="27"/>
        <v>insert into business_analytic.report.orenda values(2026, 4, '2027100600', 'Київ,Фора-433 Колоса,1Б', NULL, 2064150.26, 'TO');</v>
      </c>
      <c r="Q404" t="str">
        <f t="shared" si="28"/>
        <v>insert into business_analytic.report.orenda values(2026, 5, '2027100600', 'Київ,Фора-433 Колоса,1Б', NULL, 2429775.19, 'TO');</v>
      </c>
    </row>
    <row r="405" spans="1:17" x14ac:dyDescent="0.3">
      <c r="A405" t="s">
        <v>413</v>
      </c>
      <c r="B405" t="s">
        <v>1191</v>
      </c>
      <c r="C405" t="s">
        <v>1192</v>
      </c>
      <c r="D405" s="2">
        <v>1156132.77</v>
      </c>
      <c r="E405" s="2">
        <v>1161410</v>
      </c>
      <c r="F405" s="2">
        <v>1408559.92</v>
      </c>
      <c r="G405" s="2">
        <v>1425722.6199999999</v>
      </c>
      <c r="H405" s="2">
        <v>1622176.02</v>
      </c>
      <c r="I405" s="2">
        <v>1633213.9499999997</v>
      </c>
      <c r="J405" s="2">
        <v>553369.25</v>
      </c>
      <c r="K405" s="2">
        <v>8960584.5299999993</v>
      </c>
      <c r="L405" s="2"/>
      <c r="M405" t="str">
        <f t="shared" si="25"/>
        <v>insert into business_analytic.report.orenda values(2026, 1, '2027100700', 'Чубинське,Фора-434Яблунева,6А', NULL, 1156132.77, 'TO');</v>
      </c>
      <c r="N405" t="str">
        <f t="shared" si="26"/>
        <v>insert into business_analytic.report.orenda values(2026, 2, '2027100700', 'Чубинське,Фора-434Яблунева,6А', NULL, 1161410, 'TO');</v>
      </c>
      <c r="O405" t="str">
        <f t="shared" si="26"/>
        <v>insert into business_analytic.report.orenda values(2026, 3, '2027100700', 'Чубинське,Фора-434Яблунева,6А', NULL, 1408559.92, 'TO');</v>
      </c>
      <c r="P405" t="str">
        <f t="shared" si="27"/>
        <v>insert into business_analytic.report.orenda values(2026, 4, '2027100700', 'Чубинське,Фора-434Яблунева,6А', NULL, 1425722.62, 'TO');</v>
      </c>
      <c r="Q405" t="str">
        <f t="shared" si="28"/>
        <v>insert into business_analytic.report.orenda values(2026, 5, '2027100700', 'Чубинське,Фора-434Яблунева,6А', NULL, 1622176.02, 'TO');</v>
      </c>
    </row>
    <row r="406" spans="1:17" x14ac:dyDescent="0.3">
      <c r="A406" t="s">
        <v>255</v>
      </c>
      <c r="B406" t="s">
        <v>629</v>
      </c>
      <c r="C406" t="s">
        <v>902</v>
      </c>
      <c r="D406" s="2">
        <v>875436.92999999993</v>
      </c>
      <c r="E406" s="2">
        <v>922173.06</v>
      </c>
      <c r="F406" s="2">
        <v>1147608.6199999999</v>
      </c>
      <c r="G406" s="2">
        <v>1067936.77</v>
      </c>
      <c r="H406" s="2">
        <v>1219462.97</v>
      </c>
      <c r="I406" s="2">
        <v>1206902.1099999999</v>
      </c>
      <c r="J406" s="2">
        <v>459800.54</v>
      </c>
      <c r="K406" s="2">
        <v>6899321</v>
      </c>
      <c r="L406" s="2"/>
      <c r="M406" t="str">
        <f t="shared" si="25"/>
        <v>insert into business_analytic.report.orenda values(2026, 1, '2027100900', 'Київ,Фора-435 Деміївська,13', NULL, 875436.93, 'TO');</v>
      </c>
      <c r="N406" t="str">
        <f t="shared" si="26"/>
        <v>insert into business_analytic.report.orenda values(2026, 2, '2027100900', 'Київ,Фора-435 Деміївська,13', NULL, 922173.06, 'TO');</v>
      </c>
      <c r="O406" t="str">
        <f t="shared" si="26"/>
        <v>insert into business_analytic.report.orenda values(2026, 3, '2027100900', 'Київ,Фора-435 Деміївська,13', NULL, 1147608.62, 'TO');</v>
      </c>
      <c r="P406" t="str">
        <f t="shared" si="27"/>
        <v>insert into business_analytic.report.orenda values(2026, 4, '2027100900', 'Київ,Фора-435 Деміївська,13', NULL, 1067936.77, 'TO');</v>
      </c>
      <c r="Q406" t="str">
        <f t="shared" si="28"/>
        <v>insert into business_analytic.report.orenda values(2026, 5, '2027100900', 'Київ,Фора-435 Деміївська,13', NULL, 1219462.97, 'TO');</v>
      </c>
    </row>
    <row r="407" spans="1:17" x14ac:dyDescent="0.3">
      <c r="A407" t="s">
        <v>256</v>
      </c>
      <c r="B407" t="s">
        <v>673</v>
      </c>
      <c r="C407" t="s">
        <v>903</v>
      </c>
      <c r="D407" s="2">
        <v>1076139.5899999999</v>
      </c>
      <c r="E407" s="2">
        <v>944399.21</v>
      </c>
      <c r="F407" s="2">
        <v>1236674.2200000002</v>
      </c>
      <c r="G407" s="2">
        <v>1149987.3</v>
      </c>
      <c r="H407" s="2">
        <v>1372619.5399999998</v>
      </c>
      <c r="I407" s="2">
        <v>1461724.08</v>
      </c>
      <c r="J407" s="2">
        <v>559354.73</v>
      </c>
      <c r="K407" s="2">
        <v>7800898.6699999999</v>
      </c>
      <c r="L407" s="2"/>
      <c r="M407" t="str">
        <f t="shared" si="25"/>
        <v>insert into business_analytic.report.orenda values(2026, 1, '2027101100', 'Київ,Фора-437 Сверстюка,6А', NULL, 1076139.59, 'TO');</v>
      </c>
      <c r="N407" t="str">
        <f t="shared" si="26"/>
        <v>insert into business_analytic.report.orenda values(2026, 2, '2027101100', 'Київ,Фора-437 Сверстюка,6А', NULL, 944399.21, 'TO');</v>
      </c>
      <c r="O407" t="str">
        <f t="shared" si="26"/>
        <v>insert into business_analytic.report.orenda values(2026, 3, '2027101100', 'Київ,Фора-437 Сверстюка,6А', NULL, 1236674.22, 'TO');</v>
      </c>
      <c r="P407" t="str">
        <f t="shared" si="27"/>
        <v>insert into business_analytic.report.orenda values(2026, 4, '2027101100', 'Київ,Фора-437 Сверстюка,6А', NULL, 1149987.3, 'TO');</v>
      </c>
      <c r="Q407" t="str">
        <f t="shared" si="28"/>
        <v>insert into business_analytic.report.orenda values(2026, 5, '2027101100', 'Київ,Фора-437 Сверстюка,6А', NULL, 1372619.54, 'TO');</v>
      </c>
    </row>
    <row r="408" spans="1:17" x14ac:dyDescent="0.3">
      <c r="A408" t="s">
        <v>257</v>
      </c>
      <c r="B408" t="s">
        <v>630</v>
      </c>
      <c r="C408" t="s">
        <v>904</v>
      </c>
      <c r="D408" s="2">
        <v>1236694.8899999999</v>
      </c>
      <c r="E408" s="2">
        <v>1172172.67</v>
      </c>
      <c r="F408" s="2">
        <v>1490855.8699999999</v>
      </c>
      <c r="G408" s="2">
        <v>1408903.5</v>
      </c>
      <c r="H408" s="2">
        <v>1580922.43</v>
      </c>
      <c r="I408" s="2">
        <v>1633442.94</v>
      </c>
      <c r="J408" s="2">
        <v>619844.6</v>
      </c>
      <c r="K408" s="2">
        <v>9142836.8999999985</v>
      </c>
      <c r="L408" s="2"/>
      <c r="M408" t="str">
        <f t="shared" si="25"/>
        <v>insert into business_analytic.report.orenda values(2026, 1, '2027101500', 'Київ,Фора-440 Максимовича,3Д', NULL, 1236694.89, 'TO');</v>
      </c>
      <c r="N408" t="str">
        <f t="shared" si="26"/>
        <v>insert into business_analytic.report.orenda values(2026, 2, '2027101500', 'Київ,Фора-440 Максимовича,3Д', NULL, 1172172.67, 'TO');</v>
      </c>
      <c r="O408" t="str">
        <f t="shared" si="26"/>
        <v>insert into business_analytic.report.orenda values(2026, 3, '2027101500', 'Київ,Фора-440 Максимовича,3Д', NULL, 1490855.87, 'TO');</v>
      </c>
      <c r="P408" t="str">
        <f t="shared" si="27"/>
        <v>insert into business_analytic.report.orenda values(2026, 4, '2027101500', 'Київ,Фора-440 Максимовича,3Д', NULL, 1408903.5, 'TO');</v>
      </c>
      <c r="Q408" t="str">
        <f t="shared" si="28"/>
        <v>insert into business_analytic.report.orenda values(2026, 5, '2027101500', 'Київ,Фора-440 Максимовича,3Д', NULL, 1580922.43, 'TO');</v>
      </c>
    </row>
    <row r="409" spans="1:17" x14ac:dyDescent="0.3">
      <c r="A409" t="s">
        <v>258</v>
      </c>
      <c r="B409" t="s">
        <v>631</v>
      </c>
      <c r="C409" t="s">
        <v>905</v>
      </c>
      <c r="D409" s="2">
        <v>2319010</v>
      </c>
      <c r="E409" s="2">
        <v>1925785.88</v>
      </c>
      <c r="F409" s="2">
        <v>2606662.4299999997</v>
      </c>
      <c r="G409" s="2">
        <v>2407812.52</v>
      </c>
      <c r="H409" s="2">
        <v>2652978.56</v>
      </c>
      <c r="I409" s="2">
        <v>2573193.58</v>
      </c>
      <c r="J409" s="2">
        <v>918861.21</v>
      </c>
      <c r="K409" s="2">
        <v>15404304.18</v>
      </c>
      <c r="L409" s="2"/>
      <c r="M409" t="str">
        <f t="shared" si="25"/>
        <v>insert into business_analytic.report.orenda values(2026, 1, '2027101700', 'Бровари,Фора-442 Чорновола,6', NULL, 2319010, 'TO');</v>
      </c>
      <c r="N409" t="str">
        <f t="shared" si="26"/>
        <v>insert into business_analytic.report.orenda values(2026, 2, '2027101700', 'Бровари,Фора-442 Чорновола,6', NULL, 1925785.88, 'TO');</v>
      </c>
      <c r="O409" t="str">
        <f t="shared" si="26"/>
        <v>insert into business_analytic.report.orenda values(2026, 3, '2027101700', 'Бровари,Фора-442 Чорновола,6', NULL, 2606662.43, 'TO');</v>
      </c>
      <c r="P409" t="str">
        <f t="shared" si="27"/>
        <v>insert into business_analytic.report.orenda values(2026, 4, '2027101700', 'Бровари,Фора-442 Чорновола,6', NULL, 2407812.52, 'TO');</v>
      </c>
      <c r="Q409" t="str">
        <f t="shared" si="28"/>
        <v>insert into business_analytic.report.orenda values(2026, 5, '2027101700', 'Бровари,Фора-442 Чорновола,6', NULL, 2652978.56, 'TO');</v>
      </c>
    </row>
    <row r="410" spans="1:17" x14ac:dyDescent="0.3">
      <c r="A410" t="s">
        <v>259</v>
      </c>
      <c r="B410" t="s">
        <v>632</v>
      </c>
      <c r="C410" t="s">
        <v>906</v>
      </c>
      <c r="D410" s="2">
        <v>1688600.3599999999</v>
      </c>
      <c r="E410" s="2">
        <v>1741963.75</v>
      </c>
      <c r="F410" s="2">
        <v>1989372.07</v>
      </c>
      <c r="G410" s="2">
        <v>1993498.2499999998</v>
      </c>
      <c r="H410" s="2">
        <v>2330690.65</v>
      </c>
      <c r="I410" s="2">
        <v>2261086.6699999995</v>
      </c>
      <c r="J410" s="2">
        <v>815184.8899999999</v>
      </c>
      <c r="K410" s="2">
        <v>12820396.639999999</v>
      </c>
      <c r="L410" s="2"/>
      <c r="M410" t="str">
        <f t="shared" si="25"/>
        <v>insert into business_analytic.report.orenda values(2026, 1, '2027102100', 'Київ,Фора-443 Мстиславича,28А', NULL, 1688600.36, 'TO');</v>
      </c>
      <c r="N410" t="str">
        <f t="shared" si="26"/>
        <v>insert into business_analytic.report.orenda values(2026, 2, '2027102100', 'Київ,Фора-443 Мстиславича,28А', NULL, 1741963.75, 'TO');</v>
      </c>
      <c r="O410" t="str">
        <f t="shared" si="26"/>
        <v>insert into business_analytic.report.orenda values(2026, 3, '2027102100', 'Київ,Фора-443 Мстиславича,28А', NULL, 1989372.07, 'TO');</v>
      </c>
      <c r="P410" t="str">
        <f t="shared" si="27"/>
        <v>insert into business_analytic.report.orenda values(2026, 4, '2027102100', 'Київ,Фора-443 Мстиславича,28А', NULL, 1993498.25, 'TO');</v>
      </c>
      <c r="Q410" t="str">
        <f t="shared" si="28"/>
        <v>insert into business_analytic.report.orenda values(2026, 5, '2027102100', 'Київ,Фора-443 Мстиславича,28А', NULL, 2330690.65, 'TO');</v>
      </c>
    </row>
    <row r="411" spans="1:17" x14ac:dyDescent="0.3">
      <c r="A411" t="s">
        <v>260</v>
      </c>
      <c r="B411" t="s">
        <v>674</v>
      </c>
      <c r="C411" t="s">
        <v>907</v>
      </c>
      <c r="D411" s="2">
        <v>1142527.8799999997</v>
      </c>
      <c r="E411" s="2">
        <v>1043292.9199999999</v>
      </c>
      <c r="F411" s="2">
        <v>1380342.2599999998</v>
      </c>
      <c r="G411" s="2">
        <v>1377201.2</v>
      </c>
      <c r="H411" s="2">
        <v>1521200</v>
      </c>
      <c r="I411" s="2">
        <v>1394630.94</v>
      </c>
      <c r="J411" s="2">
        <v>525504.89</v>
      </c>
      <c r="K411" s="2">
        <v>8384700.0899999989</v>
      </c>
      <c r="L411" s="2"/>
      <c r="M411" t="str">
        <f t="shared" si="25"/>
        <v>insert into business_analytic.report.orenda values(2026, 1, '2027102300', 'Київ,Фора-445 Каховська,62А', NULL, 1142527.88, 'TO');</v>
      </c>
      <c r="N411" t="str">
        <f t="shared" si="26"/>
        <v>insert into business_analytic.report.orenda values(2026, 2, '2027102300', 'Київ,Фора-445 Каховська,62А', NULL, 1043292.92, 'TO');</v>
      </c>
      <c r="O411" t="str">
        <f t="shared" si="26"/>
        <v>insert into business_analytic.report.orenda values(2026, 3, '2027102300', 'Київ,Фора-445 Каховська,62А', NULL, 1380342.26, 'TO');</v>
      </c>
      <c r="P411" t="str">
        <f t="shared" si="27"/>
        <v>insert into business_analytic.report.orenda values(2026, 4, '2027102300', 'Київ,Фора-445 Каховська,62А', NULL, 1377201.2, 'TO');</v>
      </c>
      <c r="Q411" t="str">
        <f t="shared" si="28"/>
        <v>insert into business_analytic.report.orenda values(2026, 5, '2027102300', 'Київ,Фора-445 Каховська,62А', NULL, 1521200, 'TO');</v>
      </c>
    </row>
    <row r="412" spans="1:17" x14ac:dyDescent="0.3">
      <c r="A412" t="s">
        <v>261</v>
      </c>
      <c r="B412" t="s">
        <v>633</v>
      </c>
      <c r="C412" t="s">
        <v>908</v>
      </c>
      <c r="D412" s="2">
        <v>1452965.3399999999</v>
      </c>
      <c r="E412" s="2">
        <v>1567570.16</v>
      </c>
      <c r="F412" s="2">
        <v>1730457.24</v>
      </c>
      <c r="G412" s="2">
        <v>1829193.96</v>
      </c>
      <c r="H412" s="2">
        <v>2087748.5899999999</v>
      </c>
      <c r="I412" s="2">
        <v>2031622.79</v>
      </c>
      <c r="J412" s="2">
        <v>742599.30999999994</v>
      </c>
      <c r="K412" s="2">
        <v>11442157.389999999</v>
      </c>
      <c r="L412" s="2"/>
      <c r="M412" t="str">
        <f t="shared" si="25"/>
        <v>insert into business_analytic.report.orenda values(2026, 1, '2027102800', 'Київ,Фора-449 Голосіївська,18', NULL, 1452965.34, 'TO');</v>
      </c>
      <c r="N412" t="str">
        <f t="shared" si="26"/>
        <v>insert into business_analytic.report.orenda values(2026, 2, '2027102800', 'Київ,Фора-449 Голосіївська,18', NULL, 1567570.16, 'TO');</v>
      </c>
      <c r="O412" t="str">
        <f t="shared" si="26"/>
        <v>insert into business_analytic.report.orenda values(2026, 3, '2027102800', 'Київ,Фора-449 Голосіївська,18', NULL, 1730457.24, 'TO');</v>
      </c>
      <c r="P412" t="str">
        <f t="shared" si="27"/>
        <v>insert into business_analytic.report.orenda values(2026, 4, '2027102800', 'Київ,Фора-449 Голосіївська,18', NULL, 1829193.96, 'TO');</v>
      </c>
      <c r="Q412" t="str">
        <f t="shared" si="28"/>
        <v>insert into business_analytic.report.orenda values(2026, 5, '2027102800', 'Київ,Фора-449 Голосіївська,18', NULL, 2087748.59, 'TO');</v>
      </c>
    </row>
    <row r="413" spans="1:17" x14ac:dyDescent="0.3">
      <c r="A413" t="s">
        <v>262</v>
      </c>
      <c r="B413" t="s">
        <v>634</v>
      </c>
      <c r="C413" t="s">
        <v>909</v>
      </c>
      <c r="D413" s="2">
        <v>1465417.51</v>
      </c>
      <c r="E413" s="2">
        <v>1219948.05</v>
      </c>
      <c r="F413" s="2">
        <v>1583994.73</v>
      </c>
      <c r="G413" s="2">
        <v>1618075.11</v>
      </c>
      <c r="H413" s="2">
        <v>1780248.02</v>
      </c>
      <c r="I413" s="2">
        <v>1783365.52</v>
      </c>
      <c r="J413" s="2">
        <v>632021.06000000006</v>
      </c>
      <c r="K413" s="2">
        <v>10083070</v>
      </c>
      <c r="L413" s="2"/>
      <c r="M413" t="str">
        <f t="shared" si="25"/>
        <v>insert into business_analytic.report.orenda values(2026, 1, '2027102900', 'Київ,Фора-450 Жуля Верна,13', NULL, 1465417.51, 'TO');</v>
      </c>
      <c r="N413" t="str">
        <f t="shared" si="26"/>
        <v>insert into business_analytic.report.orenda values(2026, 2, '2027102900', 'Київ,Фора-450 Жуля Верна,13', NULL, 1219948.05, 'TO');</v>
      </c>
      <c r="O413" t="str">
        <f t="shared" si="26"/>
        <v>insert into business_analytic.report.orenda values(2026, 3, '2027102900', 'Київ,Фора-450 Жуля Верна,13', NULL, 1583994.73, 'TO');</v>
      </c>
      <c r="P413" t="str">
        <f t="shared" si="27"/>
        <v>insert into business_analytic.report.orenda values(2026, 4, '2027102900', 'Київ,Фора-450 Жуля Верна,13', NULL, 1618075.11, 'TO');</v>
      </c>
      <c r="Q413" t="str">
        <f t="shared" si="28"/>
        <v>insert into business_analytic.report.orenda values(2026, 5, '2027102900', 'Київ,Фора-450 Жуля Верна,13', NULL, 1780248.02, 'TO');</v>
      </c>
    </row>
    <row r="414" spans="1:17" x14ac:dyDescent="0.3">
      <c r="A414" t="s">
        <v>263</v>
      </c>
      <c r="B414" t="s">
        <v>635</v>
      </c>
      <c r="C414" t="s">
        <v>910</v>
      </c>
      <c r="D414" s="2">
        <v>1564243.74</v>
      </c>
      <c r="E414" s="2">
        <v>1492173.5199999998</v>
      </c>
      <c r="F414" s="2">
        <v>1933449.65</v>
      </c>
      <c r="G414" s="2">
        <v>1942724.32</v>
      </c>
      <c r="H414" s="2">
        <v>2204462.4899999998</v>
      </c>
      <c r="I414" s="2">
        <v>2141183.2800000003</v>
      </c>
      <c r="J414" s="2">
        <v>789449.13</v>
      </c>
      <c r="K414" s="2">
        <v>12067686.129999999</v>
      </c>
      <c r="L414" s="2"/>
      <c r="M414" t="str">
        <f t="shared" si="25"/>
        <v>insert into business_analytic.report.orenda values(2026, 1, '2027103000', 'Київ,Фора-451 Русанівський,12', NULL, 1564243.74, 'TO');</v>
      </c>
      <c r="N414" t="str">
        <f t="shared" si="26"/>
        <v>insert into business_analytic.report.orenda values(2026, 2, '2027103000', 'Київ,Фора-451 Русанівський,12', NULL, 1492173.52, 'TO');</v>
      </c>
      <c r="O414" t="str">
        <f t="shared" si="26"/>
        <v>insert into business_analytic.report.orenda values(2026, 3, '2027103000', 'Київ,Фора-451 Русанівський,12', NULL, 1933449.65, 'TO');</v>
      </c>
      <c r="P414" t="str">
        <f t="shared" si="27"/>
        <v>insert into business_analytic.report.orenda values(2026, 4, '2027103000', 'Київ,Фора-451 Русанівський,12', NULL, 1942724.32, 'TO');</v>
      </c>
      <c r="Q414" t="str">
        <f t="shared" si="28"/>
        <v>insert into business_analytic.report.orenda values(2026, 5, '2027103000', 'Київ,Фора-451 Русанівський,12', NULL, 2204462.49, 'TO');</v>
      </c>
    </row>
    <row r="415" spans="1:17" x14ac:dyDescent="0.3">
      <c r="A415" t="s">
        <v>264</v>
      </c>
      <c r="B415" t="s">
        <v>636</v>
      </c>
      <c r="C415" t="s">
        <v>911</v>
      </c>
      <c r="D415" s="2">
        <v>1450665.23</v>
      </c>
      <c r="E415" s="2">
        <v>1278601.8799999997</v>
      </c>
      <c r="F415" s="2">
        <v>1630665.3099999998</v>
      </c>
      <c r="G415" s="2">
        <v>1628797.72</v>
      </c>
      <c r="H415" s="2">
        <v>1656701.0899999999</v>
      </c>
      <c r="I415" s="2">
        <v>1563140.33</v>
      </c>
      <c r="J415" s="2">
        <v>561253.98</v>
      </c>
      <c r="K415" s="2">
        <v>9769825.5399999991</v>
      </c>
      <c r="L415" s="2"/>
      <c r="M415" t="str">
        <f t="shared" si="25"/>
        <v>insert into business_analytic.report.orenda values(2026, 1, '2027103100', 'Київ,Фора-452 Максимовича,26Б', NULL, 1450665.23, 'TO');</v>
      </c>
      <c r="N415" t="str">
        <f t="shared" si="26"/>
        <v>insert into business_analytic.report.orenda values(2026, 2, '2027103100', 'Київ,Фора-452 Максимовича,26Б', NULL, 1278601.88, 'TO');</v>
      </c>
      <c r="O415" t="str">
        <f t="shared" si="26"/>
        <v>insert into business_analytic.report.orenda values(2026, 3, '2027103100', 'Київ,Фора-452 Максимовича,26Б', NULL, 1630665.31, 'TO');</v>
      </c>
      <c r="P415" t="str">
        <f t="shared" si="27"/>
        <v>insert into business_analytic.report.orenda values(2026, 4, '2027103100', 'Київ,Фора-452 Максимовича,26Б', NULL, 1628797.72, 'TO');</v>
      </c>
      <c r="Q415" t="str">
        <f t="shared" si="28"/>
        <v>insert into business_analytic.report.orenda values(2026, 5, '2027103100', 'Київ,Фора-452 Максимовича,26Б', NULL, 1656701.09, 'TO');</v>
      </c>
    </row>
    <row r="416" spans="1:17" x14ac:dyDescent="0.3">
      <c r="A416" t="s">
        <v>265</v>
      </c>
      <c r="B416" t="s">
        <v>637</v>
      </c>
      <c r="C416" t="s">
        <v>912</v>
      </c>
      <c r="D416" s="2">
        <v>822445.7300000001</v>
      </c>
      <c r="E416" s="2">
        <v>794872.86</v>
      </c>
      <c r="F416" s="2">
        <v>985830.59</v>
      </c>
      <c r="G416" s="2">
        <v>972316.28999999992</v>
      </c>
      <c r="H416" s="2">
        <v>1088369.19</v>
      </c>
      <c r="I416" s="2">
        <v>956033.36999999988</v>
      </c>
      <c r="J416" s="2">
        <v>342743.66</v>
      </c>
      <c r="K416" s="2">
        <v>5962611.6899999995</v>
      </c>
      <c r="L416" s="2"/>
      <c r="M416" t="str">
        <f t="shared" si="25"/>
        <v>insert into business_analytic.report.orenda values(2026, 1, '2027103600', 'Київ,Фора-454 Світличного,4', NULL, 822445.73, 'TO');</v>
      </c>
      <c r="N416" t="str">
        <f t="shared" si="26"/>
        <v>insert into business_analytic.report.orenda values(2026, 2, '2027103600', 'Київ,Фора-454 Світличного,4', NULL, 794872.86, 'TO');</v>
      </c>
      <c r="O416" t="str">
        <f t="shared" si="26"/>
        <v>insert into business_analytic.report.orenda values(2026, 3, '2027103600', 'Київ,Фора-454 Світличного,4', NULL, 985830.59, 'TO');</v>
      </c>
      <c r="P416" t="str">
        <f t="shared" si="27"/>
        <v>insert into business_analytic.report.orenda values(2026, 4, '2027103600', 'Київ,Фора-454 Світличного,4', NULL, 972316.29, 'TO');</v>
      </c>
      <c r="Q416" t="str">
        <f t="shared" si="28"/>
        <v>insert into business_analytic.report.orenda values(2026, 5, '2027103600', 'Київ,Фора-454 Світличного,4', NULL, 1088369.19, 'TO');</v>
      </c>
    </row>
    <row r="417" spans="1:17" x14ac:dyDescent="0.3">
      <c r="A417" t="s">
        <v>266</v>
      </c>
      <c r="B417" t="s">
        <v>638</v>
      </c>
      <c r="C417" t="s">
        <v>423</v>
      </c>
      <c r="D417" s="2">
        <v>1029616.07</v>
      </c>
      <c r="E417" s="2">
        <v>1004844.0099999999</v>
      </c>
      <c r="F417" s="2">
        <v>1353780.61</v>
      </c>
      <c r="G417" s="2">
        <v>1448784.2899999998</v>
      </c>
      <c r="H417" s="2">
        <v>1667498.62</v>
      </c>
      <c r="I417" s="2">
        <v>1626256.0299999998</v>
      </c>
      <c r="J417" s="2">
        <v>591679.92000000004</v>
      </c>
      <c r="K417" s="2">
        <v>8722459.5500000007</v>
      </c>
      <c r="L417" s="2"/>
      <c r="M417" t="str">
        <f t="shared" si="25"/>
        <v>insert into business_analytic.report.orenda values(2026, 1, '2027104000', 'Бровари,Фора-458 Соборна,20', NULL, 1029616.07, 'TO');</v>
      </c>
      <c r="N417" t="str">
        <f t="shared" si="26"/>
        <v>insert into business_analytic.report.orenda values(2026, 2, '2027104000', 'Бровари,Фора-458 Соборна,20', NULL, 1004844.01, 'TO');</v>
      </c>
      <c r="O417" t="str">
        <f t="shared" si="26"/>
        <v>insert into business_analytic.report.orenda values(2026, 3, '2027104000', 'Бровари,Фора-458 Соборна,20', NULL, 1353780.61, 'TO');</v>
      </c>
      <c r="P417" t="str">
        <f t="shared" si="27"/>
        <v>insert into business_analytic.report.orenda values(2026, 4, '2027104000', 'Бровари,Фора-458 Соборна,20', NULL, 1448784.29, 'TO');</v>
      </c>
      <c r="Q417" t="str">
        <f t="shared" si="28"/>
        <v>insert into business_analytic.report.orenda values(2026, 5, '2027104000', 'Бровари,Фора-458 Соборна,20', NULL, 1667498.62, 'TO');</v>
      </c>
    </row>
    <row r="418" spans="1:17" x14ac:dyDescent="0.3">
      <c r="A418" t="s">
        <v>267</v>
      </c>
      <c r="B418" t="s">
        <v>639</v>
      </c>
      <c r="C418" t="s">
        <v>913</v>
      </c>
      <c r="D418" s="2">
        <v>919545.76</v>
      </c>
      <c r="E418" s="2">
        <v>829417.53</v>
      </c>
      <c r="F418" s="2">
        <v>1056902.0199999998</v>
      </c>
      <c r="G418" s="2">
        <v>1102194.3099999998</v>
      </c>
      <c r="H418" s="2">
        <v>1346578.3</v>
      </c>
      <c r="I418" s="2">
        <v>1336045.8199999998</v>
      </c>
      <c r="J418" s="2">
        <v>485335.13999999996</v>
      </c>
      <c r="K418" s="2">
        <v>7076018.8799999999</v>
      </c>
      <c r="L418" s="2"/>
      <c r="M418" t="str">
        <f t="shared" si="25"/>
        <v>insert into business_analytic.report.orenda values(2026, 1, '2027104600', 'Бровари,Фора-504 Симоненка,2А', NULL, 919545.76, 'TO');</v>
      </c>
      <c r="N418" t="str">
        <f t="shared" si="26"/>
        <v>insert into business_analytic.report.orenda values(2026, 2, '2027104600', 'Бровари,Фора-504 Симоненка,2А', NULL, 829417.53, 'TO');</v>
      </c>
      <c r="O418" t="str">
        <f t="shared" si="26"/>
        <v>insert into business_analytic.report.orenda values(2026, 3, '2027104600', 'Бровари,Фора-504 Симоненка,2А', NULL, 1056902.02, 'TO');</v>
      </c>
      <c r="P418" t="str">
        <f t="shared" si="27"/>
        <v>insert into business_analytic.report.orenda values(2026, 4, '2027104600', 'Бровари,Фора-504 Симоненка,2А', NULL, 1102194.31, 'TO');</v>
      </c>
      <c r="Q418" t="str">
        <f t="shared" si="28"/>
        <v>insert into business_analytic.report.orenda values(2026, 5, '2027104600', 'Бровари,Фора-504 Симоненка,2А', NULL, 1346578.3, 'TO');</v>
      </c>
    </row>
    <row r="419" spans="1:17" x14ac:dyDescent="0.3">
      <c r="A419" t="s">
        <v>268</v>
      </c>
      <c r="B419" t="s">
        <v>640</v>
      </c>
      <c r="C419" t="s">
        <v>425</v>
      </c>
      <c r="D419" s="2">
        <v>1036178.21</v>
      </c>
      <c r="E419" s="2">
        <v>825914.30999999994</v>
      </c>
      <c r="F419" s="2">
        <v>1116425.3299999998</v>
      </c>
      <c r="G419" s="2">
        <v>1004528.7999999999</v>
      </c>
      <c r="H419" s="2">
        <v>1183244.03</v>
      </c>
      <c r="I419" s="2">
        <v>1245395.17</v>
      </c>
      <c r="J419" s="2">
        <v>445655.98</v>
      </c>
      <c r="K419" s="2">
        <v>6857341.8300000001</v>
      </c>
      <c r="L419" s="2"/>
      <c r="M419" t="str">
        <f t="shared" si="25"/>
        <v>insert into business_analytic.report.orenda values(2026, 1, '2027104700', 'Київ,Фора-505 ФП Столичне шосе,1 П-9', NULL, 1036178.21, 'TO');</v>
      </c>
      <c r="N419" t="str">
        <f t="shared" si="26"/>
        <v>insert into business_analytic.report.orenda values(2026, 2, '2027104700', 'Київ,Фора-505 ФП Столичне шосе,1 П-9', NULL, 825914.31, 'TO');</v>
      </c>
      <c r="O419" t="str">
        <f t="shared" si="26"/>
        <v>insert into business_analytic.report.orenda values(2026, 3, '2027104700', 'Київ,Фора-505 ФП Столичне шосе,1 П-9', NULL, 1116425.33, 'TO');</v>
      </c>
      <c r="P419" t="str">
        <f t="shared" si="27"/>
        <v>insert into business_analytic.report.orenda values(2026, 4, '2027104700', 'Київ,Фора-505 ФП Столичне шосе,1 П-9', NULL, 1004528.8, 'TO');</v>
      </c>
      <c r="Q419" t="str">
        <f t="shared" si="28"/>
        <v>insert into business_analytic.report.orenda values(2026, 5, '2027104700', 'Київ,Фора-505 ФП Столичне шосе,1 П-9', NULL, 1183244.03, 'TO');</v>
      </c>
    </row>
    <row r="420" spans="1:17" x14ac:dyDescent="0.3">
      <c r="A420" t="s">
        <v>94</v>
      </c>
      <c r="B420" t="s">
        <v>641</v>
      </c>
      <c r="C420" t="s">
        <v>914</v>
      </c>
      <c r="D420" s="2">
        <v>1290839.43</v>
      </c>
      <c r="E420" s="2">
        <v>1262597.26</v>
      </c>
      <c r="F420" s="2">
        <v>1553963.5899999999</v>
      </c>
      <c r="G420" s="2">
        <v>1546678.5699999998</v>
      </c>
      <c r="H420" s="2">
        <v>1786816.13</v>
      </c>
      <c r="I420" s="2">
        <v>1739526.01</v>
      </c>
      <c r="J420" s="2">
        <v>633593.85</v>
      </c>
      <c r="K420" s="2">
        <v>9814014.839999998</v>
      </c>
      <c r="L420" s="2"/>
      <c r="M420" t="str">
        <f t="shared" si="25"/>
        <v>insert into business_analytic.report.orenda values(2026, 1, '2027104800', 'Київ,Фора-510 Олеся,8/17', NULL, 1290839.43, 'TO');</v>
      </c>
      <c r="N420" t="str">
        <f t="shared" si="26"/>
        <v>insert into business_analytic.report.orenda values(2026, 2, '2027104800', 'Київ,Фора-510 Олеся,8/17', NULL, 1262597.26, 'TO');</v>
      </c>
      <c r="O420" t="str">
        <f t="shared" si="26"/>
        <v>insert into business_analytic.report.orenda values(2026, 3, '2027104800', 'Київ,Фора-510 Олеся,8/17', NULL, 1553963.59, 'TO');</v>
      </c>
      <c r="P420" t="str">
        <f t="shared" si="27"/>
        <v>insert into business_analytic.report.orenda values(2026, 4, '2027104800', 'Київ,Фора-510 Олеся,8/17', NULL, 1546678.57, 'TO');</v>
      </c>
      <c r="Q420" t="str">
        <f t="shared" si="28"/>
        <v>insert into business_analytic.report.orenda values(2026, 5, '2027104800', 'Київ,Фора-510 Олеся,8/17', NULL, 1786816.13, 'TO');</v>
      </c>
    </row>
    <row r="421" spans="1:17" x14ac:dyDescent="0.3">
      <c r="A421" t="s">
        <v>269</v>
      </c>
      <c r="B421" t="s">
        <v>642</v>
      </c>
      <c r="C421" t="s">
        <v>915</v>
      </c>
      <c r="D421" s="2">
        <v>928323.05</v>
      </c>
      <c r="E421" s="2">
        <v>861038.77999999991</v>
      </c>
      <c r="F421" s="2">
        <v>1077783.1000000001</v>
      </c>
      <c r="G421" s="2">
        <v>1118913.0699999998</v>
      </c>
      <c r="H421" s="2">
        <v>1321053.3999999999</v>
      </c>
      <c r="I421" s="2">
        <v>1257209.1599999999</v>
      </c>
      <c r="J421" s="2">
        <v>466677.06</v>
      </c>
      <c r="K421" s="2">
        <v>7030997.6199999992</v>
      </c>
      <c r="L421" s="2"/>
      <c r="M421" t="str">
        <f t="shared" si="25"/>
        <v>insert into business_analytic.report.orenda values(2026, 1, '2027104900', 'СофБорщагівка,Фора-512 Амосова,67/128', NULL, 928323.05, 'TO');</v>
      </c>
      <c r="N421" t="str">
        <f t="shared" si="26"/>
        <v>insert into business_analytic.report.orenda values(2026, 2, '2027104900', 'СофБорщагівка,Фора-512 Амосова,67/128', NULL, 861038.78, 'TO');</v>
      </c>
      <c r="O421" t="str">
        <f t="shared" si="26"/>
        <v>insert into business_analytic.report.orenda values(2026, 3, '2027104900', 'СофБорщагівка,Фора-512 Амосова,67/128', NULL, 1077783.1, 'TO');</v>
      </c>
      <c r="P421" t="str">
        <f t="shared" si="27"/>
        <v>insert into business_analytic.report.orenda values(2026, 4, '2027104900', 'СофБорщагівка,Фора-512 Амосова,67/128', NULL, 1118913.07, 'TO');</v>
      </c>
      <c r="Q421" t="str">
        <f t="shared" si="28"/>
        <v>insert into business_analytic.report.orenda values(2026, 5, '2027104900', 'СофБорщагівка,Фора-512 Амосова,67/128', NULL, 1321053.4, 'TO');</v>
      </c>
    </row>
    <row r="422" spans="1:17" x14ac:dyDescent="0.3">
      <c r="A422" t="s">
        <v>95</v>
      </c>
      <c r="B422" t="s">
        <v>643</v>
      </c>
      <c r="C422" t="s">
        <v>916</v>
      </c>
      <c r="D422" s="2">
        <v>436173.29999999993</v>
      </c>
      <c r="E422" s="2">
        <v>377068.68999999994</v>
      </c>
      <c r="F422" s="2">
        <v>479958.14999999997</v>
      </c>
      <c r="G422" s="2">
        <v>544576.16</v>
      </c>
      <c r="H422" s="2">
        <v>627952.57999999996</v>
      </c>
      <c r="I422" s="2">
        <v>577006.44999999995</v>
      </c>
      <c r="J422" s="2">
        <v>227609.61999999997</v>
      </c>
      <c r="K422" s="2">
        <v>3270344.95</v>
      </c>
      <c r="L422" s="2"/>
      <c r="M422" t="str">
        <f t="shared" si="25"/>
        <v>insert into business_analytic.report.orenda values(2026, 1, '2027105000', 'Київ,Фора-556 Княжий Затон,2/30', NULL, 436173.3, 'TO');</v>
      </c>
      <c r="N422" t="str">
        <f t="shared" si="26"/>
        <v>insert into business_analytic.report.orenda values(2026, 2, '2027105000', 'Київ,Фора-556 Княжий Затон,2/30', NULL, 377068.69, 'TO');</v>
      </c>
      <c r="O422" t="str">
        <f t="shared" si="26"/>
        <v>insert into business_analytic.report.orenda values(2026, 3, '2027105000', 'Київ,Фора-556 Княжий Затон,2/30', NULL, 479958.15, 'TO');</v>
      </c>
      <c r="P422" t="str">
        <f t="shared" si="27"/>
        <v>insert into business_analytic.report.orenda values(2026, 4, '2027105000', 'Київ,Фора-556 Княжий Затон,2/30', NULL, 544576.16, 'TO');</v>
      </c>
      <c r="Q422" t="str">
        <f t="shared" si="28"/>
        <v>insert into business_analytic.report.orenda values(2026, 5, '2027105000', 'Київ,Фора-556 Княжий Затон,2/30', NULL, 627952.58, 'TO');</v>
      </c>
    </row>
    <row r="423" spans="1:17" x14ac:dyDescent="0.3">
      <c r="A423" t="s">
        <v>96</v>
      </c>
      <c r="B423" t="s">
        <v>644</v>
      </c>
      <c r="C423" t="s">
        <v>917</v>
      </c>
      <c r="D423" s="2">
        <v>718562.87</v>
      </c>
      <c r="E423" s="2">
        <v>736643.62</v>
      </c>
      <c r="F423" s="2">
        <v>951816.77</v>
      </c>
      <c r="G423" s="2">
        <v>947790.91999999993</v>
      </c>
      <c r="H423" s="2">
        <v>1115579.3</v>
      </c>
      <c r="I423" s="2">
        <v>1156335.25</v>
      </c>
      <c r="J423" s="2">
        <v>335094.14</v>
      </c>
      <c r="K423" s="2">
        <v>5961822.8699999992</v>
      </c>
      <c r="L423" s="2"/>
      <c r="M423" t="str">
        <f t="shared" si="25"/>
        <v>insert into business_analytic.report.orenda values(2026, 1, '2027105100', 'Київ,Фора-557 Ново-Дарницька,27', NULL, 718562.87, 'TO');</v>
      </c>
      <c r="N423" t="str">
        <f t="shared" si="26"/>
        <v>insert into business_analytic.report.orenda values(2026, 2, '2027105100', 'Київ,Фора-557 Ново-Дарницька,27', NULL, 736643.62, 'TO');</v>
      </c>
      <c r="O423" t="str">
        <f t="shared" si="26"/>
        <v>insert into business_analytic.report.orenda values(2026, 3, '2027105100', 'Київ,Фора-557 Ново-Дарницька,27', NULL, 951816.77, 'TO');</v>
      </c>
      <c r="P423" t="str">
        <f t="shared" si="27"/>
        <v>insert into business_analytic.report.orenda values(2026, 4, '2027105100', 'Київ,Фора-557 Ново-Дарницька,27', NULL, 947790.92, 'TO');</v>
      </c>
      <c r="Q423" t="str">
        <f t="shared" si="28"/>
        <v>insert into business_analytic.report.orenda values(2026, 5, '2027105100', 'Київ,Фора-557 Ново-Дарницька,27', NULL, 1115579.3, 'TO');</v>
      </c>
    </row>
    <row r="424" spans="1:17" x14ac:dyDescent="0.3">
      <c r="A424" t="s">
        <v>97</v>
      </c>
      <c r="B424" t="s">
        <v>645</v>
      </c>
      <c r="C424" t="s">
        <v>918</v>
      </c>
      <c r="D424" s="2">
        <v>899036.04999999993</v>
      </c>
      <c r="E424" s="2">
        <v>1021209.5099999999</v>
      </c>
      <c r="F424" s="2">
        <v>1194002.1200000001</v>
      </c>
      <c r="G424" s="2">
        <v>1150959.82</v>
      </c>
      <c r="H424" s="2">
        <v>1274398.6999999997</v>
      </c>
      <c r="I424" s="2">
        <v>1356885.6699999997</v>
      </c>
      <c r="J424" s="2">
        <v>541858.46</v>
      </c>
      <c r="K424" s="2">
        <v>7438350.3300000001</v>
      </c>
      <c r="L424" s="2"/>
      <c r="M424" t="str">
        <f t="shared" si="25"/>
        <v>insert into business_analytic.report.orenda values(2026, 1, '2027105200', 'Київ,Фора-559 Заболотного,1А', NULL, 899036.05, 'TO');</v>
      </c>
      <c r="N424" t="str">
        <f t="shared" si="26"/>
        <v>insert into business_analytic.report.orenda values(2026, 2, '2027105200', 'Київ,Фора-559 Заболотного,1А', NULL, 1021209.51, 'TO');</v>
      </c>
      <c r="O424" t="str">
        <f t="shared" si="26"/>
        <v>insert into business_analytic.report.orenda values(2026, 3, '2027105200', 'Київ,Фора-559 Заболотного,1А', NULL, 1194002.12, 'TO');</v>
      </c>
      <c r="P424" t="str">
        <f t="shared" si="27"/>
        <v>insert into business_analytic.report.orenda values(2026, 4, '2027105200', 'Київ,Фора-559 Заболотного,1А', NULL, 1150959.82, 'TO');</v>
      </c>
      <c r="Q424" t="str">
        <f t="shared" si="28"/>
        <v>insert into business_analytic.report.orenda values(2026, 5, '2027105200', 'Київ,Фора-559 Заболотного,1А', NULL, 1274398.7, 'TO');</v>
      </c>
    </row>
    <row r="425" spans="1:17" x14ac:dyDescent="0.3">
      <c r="A425" t="s">
        <v>270</v>
      </c>
      <c r="B425" t="s">
        <v>646</v>
      </c>
      <c r="C425" t="s">
        <v>919</v>
      </c>
      <c r="D425" s="2">
        <v>467254</v>
      </c>
      <c r="E425" s="2">
        <v>561062.46</v>
      </c>
      <c r="F425" s="2">
        <v>907117.64999999991</v>
      </c>
      <c r="G425" s="2">
        <v>1012766.6199999999</v>
      </c>
      <c r="H425" s="2">
        <v>1229577.8999999999</v>
      </c>
      <c r="I425" s="2">
        <v>1084547.08</v>
      </c>
      <c r="J425" s="2">
        <v>348850.78</v>
      </c>
      <c r="K425" s="2">
        <v>5611176.4899999993</v>
      </c>
      <c r="L425" s="2"/>
      <c r="M425" t="str">
        <f t="shared" si="25"/>
        <v>insert into business_analytic.report.orenda values(2026, 1, '2027105300', 'Київ,Фора-562 ФП Повітряних Сил,56Б', NULL, 467254, 'TO');</v>
      </c>
      <c r="N425" t="str">
        <f t="shared" si="26"/>
        <v>insert into business_analytic.report.orenda values(2026, 2, '2027105300', 'Київ,Фора-562 ФП Повітряних Сил,56Б', NULL, 561062.46, 'TO');</v>
      </c>
      <c r="O425" t="str">
        <f>"insert into business_analytic.report.orenda values("&amp;2026&amp;", "&amp;F$7&amp;", '"&amp;$A425&amp;"', '"&amp;$B425&amp;"', "&amp;"NULL"&amp;", "&amp;IF(F425="",0,F425)&amp;", "&amp;"'TO'"&amp;");"</f>
        <v>insert into business_analytic.report.orenda values(2026, 3, '2027105300', 'Київ,Фора-562 ФП Повітряних Сил,56Б', NULL, 907117.65, 'TO');</v>
      </c>
      <c r="P425" t="str">
        <f>"insert into business_analytic.report.orenda values("&amp;2026&amp;", "&amp;G$7&amp;", '"&amp;$A425&amp;"', '"&amp;$B425&amp;"', "&amp;"NULL"&amp;", "&amp;IF(G425="",0,G425)&amp;", "&amp;"'TO'"&amp;");"</f>
        <v>insert into business_analytic.report.orenda values(2026, 4, '2027105300', 'Київ,Фора-562 ФП Повітряних Сил,56Б', NULL, 1012766.62, 'TO');</v>
      </c>
      <c r="Q425" t="str">
        <f t="shared" si="28"/>
        <v>insert into business_analytic.report.orenda values(2026, 5, '2027105300', 'Київ,Фора-562 ФП Повітряних Сил,56Б', NULL, 1229577.9, 'TO');</v>
      </c>
    </row>
    <row r="426" spans="1:17" x14ac:dyDescent="0.3">
      <c r="A426" t="s">
        <v>271</v>
      </c>
      <c r="B426" t="s">
        <v>647</v>
      </c>
      <c r="C426" t="s">
        <v>920</v>
      </c>
      <c r="D426" s="2">
        <v>524445.39</v>
      </c>
      <c r="E426" s="2">
        <v>542116.97</v>
      </c>
      <c r="F426" s="2">
        <v>684880.33</v>
      </c>
      <c r="G426" s="2">
        <v>771827.77999999991</v>
      </c>
      <c r="H426" s="2">
        <v>890494.53999999992</v>
      </c>
      <c r="I426" s="2">
        <v>864709.42999999993</v>
      </c>
      <c r="J426" s="2">
        <v>347571.82999999996</v>
      </c>
      <c r="K426" s="2">
        <v>4626046.2699999996</v>
      </c>
      <c r="L426" s="2"/>
      <c r="M426" t="str">
        <f t="shared" si="25"/>
        <v>insert into business_analytic.report.orenda values(2026, 1, '2027105400', 'Київ,Фора-573 Трускавецька,8', NULL, 524445.39, 'TO');</v>
      </c>
      <c r="N426" t="str">
        <f t="shared" si="26"/>
        <v>insert into business_analytic.report.orenda values(2026, 2, '2027105400', 'Київ,Фора-573 Трускавецька,8', NULL, 542116.97, 'TO');</v>
      </c>
      <c r="O426" t="str">
        <f t="shared" ref="O426:O427" si="29">"insert into business_analytic.report.orenda values("&amp;2026&amp;", "&amp;F$7&amp;", '"&amp;$A426&amp;"', '"&amp;$B426&amp;"', "&amp;"NULL"&amp;", "&amp;IF(F426="",0,F426)&amp;", "&amp;"'TO'"&amp;");"</f>
        <v>insert into business_analytic.report.orenda values(2026, 3, '2027105400', 'Київ,Фора-573 Трускавецька,8', NULL, 684880.33, 'TO');</v>
      </c>
      <c r="P426" t="str">
        <f t="shared" ref="P426" si="30">"insert into business_analytic.report.orenda values("&amp;2026&amp;", "&amp;G$7&amp;", '"&amp;$A426&amp;"', '"&amp;$B426&amp;"', "&amp;"NULL"&amp;", "&amp;IF(G426="",0,G426)&amp;", "&amp;"'TO'"&amp;");"</f>
        <v>insert into business_analytic.report.orenda values(2026, 4, '2027105400', 'Київ,Фора-573 Трускавецька,8', NULL, 771827.78, 'TO');</v>
      </c>
      <c r="Q426" t="str">
        <f t="shared" si="28"/>
        <v>insert into business_analytic.report.orenda values(2026, 5, '2027105400', 'Київ,Фора-573 Трускавецька,8', NULL, 890494.54, 'TO');</v>
      </c>
    </row>
    <row r="427" spans="1:17" x14ac:dyDescent="0.3">
      <c r="A427" t="s">
        <v>272</v>
      </c>
      <c r="B427" t="s">
        <v>648</v>
      </c>
      <c r="C427" t="s">
        <v>844</v>
      </c>
      <c r="D427" s="2">
        <v>814760.07</v>
      </c>
      <c r="E427" s="2">
        <v>736984.70000000007</v>
      </c>
      <c r="F427" s="2">
        <v>911512.44999999984</v>
      </c>
      <c r="G427" s="2">
        <v>897575.95000000007</v>
      </c>
      <c r="H427" s="2">
        <v>1132297.8299999998</v>
      </c>
      <c r="I427" s="2">
        <v>1223010.55</v>
      </c>
      <c r="J427" s="2">
        <v>490461.42</v>
      </c>
      <c r="K427" s="2">
        <v>6206602.9699999997</v>
      </c>
      <c r="L427" s="2"/>
      <c r="M427" t="str">
        <f t="shared" si="25"/>
        <v>insert into business_analytic.report.orenda values(2026, 1, '2027105500', 'СофБорщагівка,Фора-578 Чубинського,8А', NULL, 814760.07, 'TO');</v>
      </c>
      <c r="N427" t="str">
        <f t="shared" si="25"/>
        <v>insert into business_analytic.report.orenda values(2026, 2, '2027105500', 'СофБорщагівка,Фора-578 Чубинського,8А', NULL, 736984.7, 'TO');</v>
      </c>
      <c r="O427" t="str">
        <f t="shared" si="29"/>
        <v>insert into business_analytic.report.orenda values(2026, 3, '2027105500', 'СофБорщагівка,Фора-578 Чубинського,8А', NULL, 911512.45, 'TO');</v>
      </c>
      <c r="P427" t="str">
        <f>"insert into business_analytic.report.orenda values("&amp;2026&amp;", "&amp;G$7&amp;", '"&amp;$A427&amp;"', '"&amp;$B427&amp;"', "&amp;"NULL"&amp;", "&amp;IF(G427="",0,G427)&amp;", "&amp;"'TO'"&amp;");"</f>
        <v>insert into business_analytic.report.orenda values(2026, 4, '2027105500', 'СофБорщагівка,Фора-578 Чубинського,8А', NULL, 897575.95, 'TO');</v>
      </c>
      <c r="Q427" t="str">
        <f t="shared" si="28"/>
        <v>insert into business_analytic.report.orenda values(2026, 5, '2027105500', 'СофБорщагівка,Фора-578 Чубинського,8А', NULL, 1132297.83, 'TO');</v>
      </c>
    </row>
    <row r="428" spans="1:17" x14ac:dyDescent="0.3">
      <c r="A428" t="s">
        <v>1232</v>
      </c>
      <c r="B428" t="s">
        <v>1233</v>
      </c>
      <c r="D428" s="2"/>
      <c r="E428" s="2"/>
      <c r="F428" s="2"/>
      <c r="G428" s="2"/>
      <c r="H428" s="2">
        <v>872122.54</v>
      </c>
      <c r="I428" s="2">
        <v>1102697.4000000001</v>
      </c>
      <c r="J428" s="2">
        <v>437097.41</v>
      </c>
      <c r="K428" s="2">
        <v>2411917.3499999996</v>
      </c>
      <c r="L428" s="2"/>
      <c r="Q428" t="str">
        <f t="shared" si="28"/>
        <v>insert into business_analytic.report.orenda values(2026, 5, '2027105600', 'Київ,Фора-593 Крістерів,16', NULL, 872122.54, 'TO');</v>
      </c>
    </row>
    <row r="429" spans="1:17" x14ac:dyDescent="0.3">
      <c r="A429" t="s">
        <v>1242</v>
      </c>
      <c r="B429" t="s">
        <v>1243</v>
      </c>
      <c r="D429" s="2"/>
      <c r="E429" s="2"/>
      <c r="F429" s="2"/>
      <c r="G429" s="2"/>
      <c r="H429" s="2"/>
      <c r="I429" s="2"/>
      <c r="J429" s="2">
        <v>254285.68</v>
      </c>
      <c r="K429" s="2">
        <v>254285.68</v>
      </c>
      <c r="Q429" t="str">
        <f t="shared" si="28"/>
        <v>insert into business_analytic.report.orenda values(2026, 5, '2027105700', 'ФудПод(Project)-12_Киев, Голосеевский', NULL, 0, 'TO');</v>
      </c>
    </row>
    <row r="430" spans="1:17" x14ac:dyDescent="0.3">
      <c r="A430" t="s">
        <v>273</v>
      </c>
      <c r="B430" t="s">
        <v>649</v>
      </c>
      <c r="C430" t="s">
        <v>921</v>
      </c>
      <c r="D430" s="2">
        <v>1353168.0899999999</v>
      </c>
      <c r="E430" s="2">
        <v>1124232.2799999998</v>
      </c>
      <c r="F430" s="2">
        <v>1823095.3599999999</v>
      </c>
      <c r="G430" s="2">
        <v>952135.8</v>
      </c>
      <c r="H430" s="2">
        <v>1000924.9299999999</v>
      </c>
      <c r="I430" s="2">
        <v>960654.99999999988</v>
      </c>
      <c r="J430" s="2">
        <v>395291.79999999993</v>
      </c>
      <c r="K430" s="2">
        <v>7609503.2599999998</v>
      </c>
      <c r="Q430" t="str">
        <f t="shared" si="28"/>
        <v>insert into business_analytic.report.orenda values(2026, 5, '2027108600', 'Гатне,Фора-546 Приозерний,6', NULL, 1000924.93, 'TO');</v>
      </c>
    </row>
    <row r="431" spans="1:17" x14ac:dyDescent="0.3">
      <c r="A431" t="s">
        <v>274</v>
      </c>
      <c r="B431" t="s">
        <v>650</v>
      </c>
      <c r="C431" t="s">
        <v>916</v>
      </c>
      <c r="D431" s="2">
        <v>996787.22</v>
      </c>
      <c r="E431" s="2">
        <v>949387.1399999999</v>
      </c>
      <c r="F431" s="2">
        <v>1242851.3199999998</v>
      </c>
      <c r="G431" s="2">
        <v>1307680.51</v>
      </c>
      <c r="H431" s="2">
        <v>1559877.7299999997</v>
      </c>
      <c r="I431" s="2">
        <v>1499159.52</v>
      </c>
      <c r="J431" s="2">
        <v>609101.93999999994</v>
      </c>
      <c r="K431" s="2">
        <v>8164845.379999999</v>
      </c>
      <c r="Q431" t="str">
        <f t="shared" si="28"/>
        <v>insert into business_analytic.report.orenda values(2026, 5, '2027108700', 'Київ,Фора-554 Балтійський,3А', NULL, 1559877.73, 'TO');</v>
      </c>
    </row>
    <row r="432" spans="1:17" x14ac:dyDescent="0.3">
      <c r="A432" t="s">
        <v>98</v>
      </c>
      <c r="D432" s="2">
        <v>4199913378.1600003</v>
      </c>
      <c r="E432" s="2">
        <v>3912899793.8500013</v>
      </c>
      <c r="F432" s="2">
        <v>4510408826.4399986</v>
      </c>
      <c r="G432" s="2">
        <v>4554291163.4599991</v>
      </c>
      <c r="H432" s="2">
        <v>4892768160.4100018</v>
      </c>
      <c r="I432" s="2">
        <v>4729420410.1799984</v>
      </c>
      <c r="J432" s="2">
        <v>1782959087.1399982</v>
      </c>
      <c r="K432" s="2">
        <v>28582660819.640003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7"/>
  <sheetViews>
    <sheetView tabSelected="1" topLeftCell="A247" workbookViewId="0">
      <selection activeCell="P256" sqref="P256"/>
    </sheetView>
  </sheetViews>
  <sheetFormatPr defaultRowHeight="14.4" x14ac:dyDescent="0.3"/>
  <cols>
    <col min="1" max="1" width="21.44140625" bestFit="1" customWidth="1"/>
    <col min="2" max="2" width="41.21875" bestFit="1" customWidth="1"/>
    <col min="3" max="3" width="16.21875" bestFit="1" customWidth="1"/>
    <col min="4" max="9" width="10.5546875" bestFit="1" customWidth="1"/>
    <col min="10" max="10" width="18.77734375" customWidth="1"/>
    <col min="11" max="11" width="12.21875" bestFit="1" customWidth="1"/>
    <col min="12" max="12" width="18.77734375" bestFit="1" customWidth="1"/>
    <col min="13" max="15" width="19.77734375" bestFit="1" customWidth="1"/>
    <col min="16" max="16" width="18.77734375" bestFit="1" customWidth="1"/>
    <col min="17" max="28" width="11.5546875" bestFit="1" customWidth="1"/>
    <col min="29" max="29" width="13.77734375" bestFit="1" customWidth="1"/>
    <col min="30" max="32" width="11.5546875" bestFit="1" customWidth="1"/>
    <col min="33" max="33" width="13.77734375" bestFit="1" customWidth="1"/>
    <col min="34" max="34" width="18.77734375" bestFit="1" customWidth="1"/>
    <col min="35" max="39" width="17.21875" bestFit="1" customWidth="1"/>
    <col min="40" max="40" width="13.44140625" bestFit="1" customWidth="1"/>
    <col min="41" max="41" width="12.33203125" bestFit="1" customWidth="1"/>
    <col min="42" max="42" width="12.5546875" bestFit="1" customWidth="1"/>
    <col min="43" max="479" width="11.5546875" bestFit="1" customWidth="1"/>
    <col min="480" max="480" width="18.77734375" bestFit="1" customWidth="1"/>
  </cols>
  <sheetData>
    <row r="1" spans="1:16" x14ac:dyDescent="0.3">
      <c r="A1" s="1" t="s">
        <v>101</v>
      </c>
      <c r="B1" t="s" vm="1">
        <v>418</v>
      </c>
      <c r="K1" t="str">
        <f t="shared" ref="K1" si="0">"insert into business_analytic.report.orenda values("&amp;2026&amp;", "&amp;D$7&amp;", '"&amp;$A1&amp;"', '"&amp;$B1&amp;"', "&amp;"NULL"&amp;", "&amp;IF(D1="",0,D1)&amp;", "&amp;"'Orenda'"&amp;");"</f>
        <v>insert into business_analytic.report.orenda values(2026, 1, 'year', '2026', NULL, 0, 'Orenda');</v>
      </c>
    </row>
    <row r="2" spans="1:16" x14ac:dyDescent="0.3">
      <c r="A2" s="1" t="s">
        <v>100</v>
      </c>
      <c r="B2" t="s" vm="4">
        <v>421</v>
      </c>
    </row>
    <row r="3" spans="1:16" x14ac:dyDescent="0.3">
      <c r="A3" s="1" t="s">
        <v>420</v>
      </c>
      <c r="B3" t="s" vm="3">
        <v>414</v>
      </c>
    </row>
    <row r="4" spans="1:16" x14ac:dyDescent="0.3">
      <c r="A4" s="1" t="s">
        <v>922</v>
      </c>
      <c r="B4" t="s" vm="6">
        <v>414</v>
      </c>
    </row>
    <row r="6" spans="1:16" x14ac:dyDescent="0.3">
      <c r="A6" s="1" t="s">
        <v>99</v>
      </c>
      <c r="D6" s="1" t="s">
        <v>1197</v>
      </c>
    </row>
    <row r="7" spans="1:16" x14ac:dyDescent="0.3">
      <c r="A7" s="1" t="s">
        <v>102</v>
      </c>
      <c r="B7" s="1" t="s">
        <v>431</v>
      </c>
      <c r="C7" s="1" t="s">
        <v>699</v>
      </c>
      <c r="D7" t="s">
        <v>1198</v>
      </c>
      <c r="E7" t="s">
        <v>1199</v>
      </c>
      <c r="F7" t="s">
        <v>1200</v>
      </c>
      <c r="G7" t="s">
        <v>1211</v>
      </c>
      <c r="H7" t="s">
        <v>1217</v>
      </c>
      <c r="I7" t="s">
        <v>1234</v>
      </c>
      <c r="J7" t="s">
        <v>98</v>
      </c>
    </row>
    <row r="8" spans="1:16" x14ac:dyDescent="0.3">
      <c r="A8" t="s">
        <v>108</v>
      </c>
      <c r="B8" t="s">
        <v>695</v>
      </c>
      <c r="C8" t="s">
        <v>705</v>
      </c>
      <c r="D8" s="2">
        <v>-100833.34</v>
      </c>
      <c r="E8" s="2">
        <v>-100833.34</v>
      </c>
      <c r="F8" s="2">
        <v>-100833.34</v>
      </c>
      <c r="G8" s="2">
        <v>-110916.67</v>
      </c>
      <c r="H8" s="2">
        <v>-110916.67</v>
      </c>
      <c r="I8" s="2"/>
      <c r="J8" s="2">
        <v>-524333.36</v>
      </c>
      <c r="K8" t="str">
        <f>"insert into business_analytic.report.orenda values("&amp;2026&amp;", "&amp;D$7&amp;", '"&amp;$A8&amp;"', '"&amp;$B8&amp;"', "&amp;"NULL"&amp;", "&amp;IF(D8="",0,D8)&amp;", "&amp;"'Orenda'"&amp;");"</f>
        <v>insert into business_analytic.report.orenda values(2026, 1, '2021101500', 'Київ,Фора-015 Гродненська,1/35', NULL, -100833.34, 'Orenda');</v>
      </c>
      <c r="L8" t="str">
        <f>"insert into business_analytic.report.orenda values("&amp;2026&amp;", "&amp;E$7&amp;", '"&amp;$A8&amp;"', '"&amp;$B8&amp;"', "&amp;"NULL"&amp;", "&amp;IF(E8="",0,E8)&amp;", "&amp;"'Orenda'"&amp;");"</f>
        <v>insert into business_analytic.report.orenda values(2026, 2, '2021101500', 'Київ,Фора-015 Гродненська,1/35', NULL, -100833.34, 'Orenda');</v>
      </c>
      <c r="M8" t="str">
        <f>"insert into business_analytic.report.orenda values("&amp;2026&amp;", "&amp;F$7&amp;", '"&amp;$A8&amp;"', '"&amp;$B8&amp;"', "&amp;"NULL"&amp;", "&amp;IF(F8="",0,F8)&amp;", "&amp;"'Orenda'"&amp;");"</f>
        <v>insert into business_analytic.report.orenda values(2026, 3, '2021101500', 'Київ,Фора-015 Гродненська,1/35', NULL, -100833.34, 'Orenda');</v>
      </c>
      <c r="N8" t="str">
        <f>"insert into business_analytic.report.orenda values("&amp;2026&amp;", "&amp;G$7&amp;", '"&amp;$A8&amp;"', '"&amp;$B8&amp;"', "&amp;"NULL"&amp;", "&amp;IF(G8="",0,G8)&amp;", "&amp;"'Orenda'"&amp;");"</f>
        <v>insert into business_analytic.report.orenda values(2026, 4, '2021101500', 'Київ,Фора-015 Гродненська,1/35', NULL, -110916.67, 'Orenda');</v>
      </c>
      <c r="O8" t="str">
        <f t="shared" ref="O8:P23" si="1">"insert into business_analytic.report.orenda values("&amp;2026&amp;", "&amp;H$7&amp;", '"&amp;$A8&amp;"', '"&amp;$B8&amp;"', "&amp;"NULL"&amp;", "&amp;IF(H8="",0,H8)&amp;", "&amp;"'Orenda'"&amp;");"</f>
        <v>insert into business_analytic.report.orenda values(2026, 5, '2021101500', 'Київ,Фора-015 Гродненська,1/35', NULL, -110916.67, 'Orenda');</v>
      </c>
      <c r="P8" t="str">
        <f t="shared" si="1"/>
        <v>insert into business_analytic.report.orenda values(2026, 6, '2021101500', 'Київ,Фора-015 Гродненська,1/35', NULL, 0, 'Orenda');</v>
      </c>
    </row>
    <row r="9" spans="1:16" x14ac:dyDescent="0.3">
      <c r="A9" t="s">
        <v>110</v>
      </c>
      <c r="B9" t="s">
        <v>434</v>
      </c>
      <c r="C9" t="s">
        <v>707</v>
      </c>
      <c r="D9" s="2">
        <v>-352943.32999999996</v>
      </c>
      <c r="E9" s="2">
        <v>-357069.17</v>
      </c>
      <c r="F9" s="2">
        <v>-360067.5</v>
      </c>
      <c r="G9" s="2">
        <v>-365979.17</v>
      </c>
      <c r="H9" s="2">
        <v>-366358.32999999996</v>
      </c>
      <c r="I9" s="2"/>
      <c r="J9" s="2">
        <v>-1802417.5</v>
      </c>
      <c r="K9" t="str">
        <f t="shared" ref="K9:L71" si="2">"insert into business_analytic.report.orenda values("&amp;2026&amp;", "&amp;D$7&amp;", '"&amp;$A9&amp;"', '"&amp;$B9&amp;"', "&amp;"NULL"&amp;", "&amp;IF(D9="",0,D9)&amp;", "&amp;"'Orenda'"&amp;");"</f>
        <v>insert into business_analytic.report.orenda values(2026, 1, '2021101900', 'Київ,Фора-018 Голосіївський,104', NULL, -352943.33, 'Orenda');</v>
      </c>
      <c r="L9" t="str">
        <f t="shared" si="2"/>
        <v>insert into business_analytic.report.orenda values(2026, 2, '2021101900', 'Київ,Фора-018 Голосіївський,104', NULL, -357069.17, 'Orenda');</v>
      </c>
      <c r="M9" t="str">
        <f t="shared" ref="M9:M72" si="3">"insert into business_analytic.report.orenda values("&amp;2026&amp;", "&amp;F$7&amp;", '"&amp;$A9&amp;"', '"&amp;$B9&amp;"', "&amp;"NULL"&amp;", "&amp;IF(F9="",0,F9)&amp;", "&amp;"'Orenda'"&amp;");"</f>
        <v>insert into business_analytic.report.orenda values(2026, 3, '2021101900', 'Київ,Фора-018 Голосіївський,104', NULL, -360067.5, 'Orenda');</v>
      </c>
      <c r="N9" t="str">
        <f t="shared" ref="N9:O72" si="4">"insert into business_analytic.report.orenda values("&amp;2026&amp;", "&amp;G$7&amp;", '"&amp;$A9&amp;"', '"&amp;$B9&amp;"', "&amp;"NULL"&amp;", "&amp;IF(G9="",0,G9)&amp;", "&amp;"'Orenda'"&amp;");"</f>
        <v>insert into business_analytic.report.orenda values(2026, 4, '2021101900', 'Київ,Фора-018 Голосіївський,104', NULL, -365979.17, 'Orenda');</v>
      </c>
      <c r="O9" t="str">
        <f t="shared" si="1"/>
        <v>insert into business_analytic.report.orenda values(2026, 5, '2021101900', 'Київ,Фора-018 Голосіївський,104', NULL, -366358.33, 'Orenda');</v>
      </c>
    </row>
    <row r="10" spans="1:16" x14ac:dyDescent="0.3">
      <c r="A10" t="s">
        <v>111</v>
      </c>
      <c r="B10" t="s">
        <v>435</v>
      </c>
      <c r="C10" t="s">
        <v>708</v>
      </c>
      <c r="D10" s="2">
        <v>-304600</v>
      </c>
      <c r="E10" s="2">
        <v>-304600</v>
      </c>
      <c r="F10" s="2">
        <v>-304600</v>
      </c>
      <c r="G10" s="2">
        <v>-304600</v>
      </c>
      <c r="H10" s="2">
        <v>-304600</v>
      </c>
      <c r="I10" s="2"/>
      <c r="J10" s="2">
        <v>-1523000</v>
      </c>
      <c r="K10" t="str">
        <f t="shared" si="2"/>
        <v>insert into business_analytic.report.orenda values(2026, 1, '2021102000', 'Київ,Фора-017 Миропільська,1', NULL, -304600, 'Orenda');</v>
      </c>
      <c r="L10" t="str">
        <f t="shared" si="2"/>
        <v>insert into business_analytic.report.orenda values(2026, 2, '2021102000', 'Київ,Фора-017 Миропільська,1', NULL, -304600, 'Orenda');</v>
      </c>
      <c r="M10" t="str">
        <f t="shared" si="3"/>
        <v>insert into business_analytic.report.orenda values(2026, 3, '2021102000', 'Київ,Фора-017 Миропільська,1', NULL, -304600, 'Orenda');</v>
      </c>
      <c r="N10" t="str">
        <f t="shared" si="4"/>
        <v>insert into business_analytic.report.orenda values(2026, 4, '2021102000', 'Київ,Фора-017 Миропільська,1', NULL, -304600, 'Orenda');</v>
      </c>
      <c r="O10" t="str">
        <f t="shared" si="1"/>
        <v>insert into business_analytic.report.orenda values(2026, 5, '2021102000', 'Київ,Фора-017 Миропільська,1', NULL, -304600, 'Orenda');</v>
      </c>
    </row>
    <row r="11" spans="1:16" x14ac:dyDescent="0.3">
      <c r="A11" t="s">
        <v>113</v>
      </c>
      <c r="B11" t="s">
        <v>437</v>
      </c>
      <c r="C11" t="s">
        <v>710</v>
      </c>
      <c r="D11" s="2">
        <v>-136081.12</v>
      </c>
      <c r="E11" s="2">
        <v>-147885.66999999998</v>
      </c>
      <c r="F11" s="2">
        <v>-180170.16</v>
      </c>
      <c r="G11" s="2">
        <v>-180505.47</v>
      </c>
      <c r="H11" s="2">
        <v>-180786.3</v>
      </c>
      <c r="I11" s="2"/>
      <c r="J11" s="2">
        <v>-825428.72</v>
      </c>
      <c r="K11" t="str">
        <f t="shared" si="2"/>
        <v>insert into business_analytic.report.orenda values(2026, 1, '2021102900', 'Київ,Фора-022 Воскресенський,14', NULL, -136081.12, 'Orenda');</v>
      </c>
      <c r="L11" t="str">
        <f t="shared" si="2"/>
        <v>insert into business_analytic.report.orenda values(2026, 2, '2021102900', 'Київ,Фора-022 Воскресенський,14', NULL, -147885.67, 'Orenda');</v>
      </c>
      <c r="M11" t="str">
        <f t="shared" si="3"/>
        <v>insert into business_analytic.report.orenda values(2026, 3, '2021102900', 'Київ,Фора-022 Воскресенський,14', NULL, -180170.16, 'Orenda');</v>
      </c>
      <c r="N11" t="str">
        <f t="shared" si="4"/>
        <v>insert into business_analytic.report.orenda values(2026, 4, '2021102900', 'Київ,Фора-022 Воскресенський,14', NULL, -180505.47, 'Orenda');</v>
      </c>
      <c r="O11" t="str">
        <f t="shared" si="1"/>
        <v>insert into business_analytic.report.orenda values(2026, 5, '2021102900', 'Київ,Фора-022 Воскресенський,14', NULL, -180786.3, 'Orenda');</v>
      </c>
    </row>
    <row r="12" spans="1:16" x14ac:dyDescent="0.3">
      <c r="A12" t="s">
        <v>116</v>
      </c>
      <c r="B12" t="s">
        <v>675</v>
      </c>
      <c r="C12" t="s">
        <v>713</v>
      </c>
      <c r="D12" s="2">
        <v>-300856.42</v>
      </c>
      <c r="E12" s="2">
        <v>-300856.42</v>
      </c>
      <c r="F12" s="2">
        <v>-300856.42</v>
      </c>
      <c r="G12" s="2">
        <v>-300856.42</v>
      </c>
      <c r="H12" s="2">
        <v>-330942.06</v>
      </c>
      <c r="I12" s="2"/>
      <c r="J12" s="2">
        <v>-1534367.7399999998</v>
      </c>
      <c r="K12" t="str">
        <f t="shared" si="2"/>
        <v>insert into business_analytic.report.orenda values(2026, 1, '2021103800', 'Київ,Фора-028 Голосіївський,118', NULL, -300856.42, 'Orenda');</v>
      </c>
      <c r="L12" t="str">
        <f t="shared" si="2"/>
        <v>insert into business_analytic.report.orenda values(2026, 2, '2021103800', 'Київ,Фора-028 Голосіївський,118', NULL, -300856.42, 'Orenda');</v>
      </c>
      <c r="M12" t="str">
        <f t="shared" si="3"/>
        <v>insert into business_analytic.report.orenda values(2026, 3, '2021103800', 'Київ,Фора-028 Голосіївський,118', NULL, -300856.42, 'Orenda');</v>
      </c>
      <c r="N12" t="str">
        <f t="shared" si="4"/>
        <v>insert into business_analytic.report.orenda values(2026, 4, '2021103800', 'Київ,Фора-028 Голосіївський,118', NULL, -300856.42, 'Orenda');</v>
      </c>
      <c r="O12" t="str">
        <f t="shared" si="1"/>
        <v>insert into business_analytic.report.orenda values(2026, 5, '2021103800', 'Київ,Фора-028 Голосіївський,118', NULL, -330942.06, 'Orenda');</v>
      </c>
    </row>
    <row r="13" spans="1:16" x14ac:dyDescent="0.3">
      <c r="A13" t="s">
        <v>117</v>
      </c>
      <c r="B13" t="s">
        <v>683</v>
      </c>
      <c r="C13" t="s">
        <v>714</v>
      </c>
      <c r="D13" s="2">
        <v>-68391.56</v>
      </c>
      <c r="E13" s="2">
        <v>-68391.56</v>
      </c>
      <c r="F13" s="2">
        <v>-68391.56</v>
      </c>
      <c r="G13" s="2">
        <v>-68391.56</v>
      </c>
      <c r="H13" s="2">
        <v>-68391.56</v>
      </c>
      <c r="I13" s="2"/>
      <c r="J13" s="2">
        <v>-341957.8</v>
      </c>
      <c r="K13" t="str">
        <f t="shared" si="2"/>
        <v>insert into business_analytic.report.orenda values(2026, 1, '2021104300', 'Київ,Фора-447 Вишняківська,17', NULL, -68391.56, 'Orenda');</v>
      </c>
      <c r="L13" t="str">
        <f t="shared" si="2"/>
        <v>insert into business_analytic.report.orenda values(2026, 2, '2021104300', 'Київ,Фора-447 Вишняківська,17', NULL, -68391.56, 'Orenda');</v>
      </c>
      <c r="M13" t="str">
        <f t="shared" si="3"/>
        <v>insert into business_analytic.report.orenda values(2026, 3, '2021104300', 'Київ,Фора-447 Вишняківська,17', NULL, -68391.56, 'Orenda');</v>
      </c>
      <c r="N13" t="str">
        <f t="shared" si="4"/>
        <v>insert into business_analytic.report.orenda values(2026, 4, '2021104300', 'Київ,Фора-447 Вишняківська,17', NULL, -68391.56, 'Orenda');</v>
      </c>
      <c r="O13" t="str">
        <f t="shared" si="1"/>
        <v>insert into business_analytic.report.orenda values(2026, 5, '2021104300', 'Київ,Фора-447 Вишняківська,17', NULL, -68391.56, 'Orenda');</v>
      </c>
    </row>
    <row r="14" spans="1:16" x14ac:dyDescent="0.3">
      <c r="A14" t="s">
        <v>118</v>
      </c>
      <c r="B14" t="s">
        <v>439</v>
      </c>
      <c r="C14" t="s">
        <v>715</v>
      </c>
      <c r="D14" s="2">
        <v>-82000</v>
      </c>
      <c r="E14" s="2">
        <v>-82000</v>
      </c>
      <c r="F14" s="2">
        <v>-82000</v>
      </c>
      <c r="G14" s="2">
        <v>-92000</v>
      </c>
      <c r="H14" s="2">
        <v>-92000</v>
      </c>
      <c r="I14" s="2"/>
      <c r="J14" s="2">
        <v>-430000</v>
      </c>
      <c r="K14" t="str">
        <f t="shared" si="2"/>
        <v>insert into business_analytic.report.orenda values(2026, 1, '2021104400', 'Київ,Фора-033 Зодчих,52', NULL, -82000, 'Orenda');</v>
      </c>
      <c r="L14" t="str">
        <f t="shared" si="2"/>
        <v>insert into business_analytic.report.orenda values(2026, 2, '2021104400', 'Київ,Фора-033 Зодчих,52', NULL, -82000, 'Orenda');</v>
      </c>
      <c r="M14" t="str">
        <f t="shared" si="3"/>
        <v>insert into business_analytic.report.orenda values(2026, 3, '2021104400', 'Київ,Фора-033 Зодчих,52', NULL, -82000, 'Orenda');</v>
      </c>
      <c r="N14" t="str">
        <f t="shared" si="4"/>
        <v>insert into business_analytic.report.orenda values(2026, 4, '2021104400', 'Київ,Фора-033 Зодчих,52', NULL, -92000, 'Orenda');</v>
      </c>
      <c r="O14" t="str">
        <f t="shared" si="1"/>
        <v>insert into business_analytic.report.orenda values(2026, 5, '2021104400', 'Київ,Фора-033 Зодчих,52', NULL, -92000, 'Orenda');</v>
      </c>
    </row>
    <row r="15" spans="1:16" x14ac:dyDescent="0.3">
      <c r="A15" t="s">
        <v>119</v>
      </c>
      <c r="B15" t="s">
        <v>693</v>
      </c>
      <c r="C15" t="s">
        <v>716</v>
      </c>
      <c r="D15" s="2">
        <v>-126207.12</v>
      </c>
      <c r="E15" s="2">
        <v>-126207.12</v>
      </c>
      <c r="F15" s="2">
        <v>-126207.12</v>
      </c>
      <c r="G15" s="2">
        <v>-126207.12</v>
      </c>
      <c r="H15" s="2">
        <v>-126207.12</v>
      </c>
      <c r="I15" s="2"/>
      <c r="J15" s="2">
        <v>-631035.6</v>
      </c>
      <c r="K15" t="str">
        <f t="shared" si="2"/>
        <v>insert into business_analytic.report.orenda values(2026, 1, '2021105500', 'Київ,Фора-041 Бажана,30', NULL, -126207.12, 'Orenda');</v>
      </c>
      <c r="L15" t="str">
        <f t="shared" si="2"/>
        <v>insert into business_analytic.report.orenda values(2026, 2, '2021105500', 'Київ,Фора-041 Бажана,30', NULL, -126207.12, 'Orenda');</v>
      </c>
      <c r="M15" t="str">
        <f t="shared" si="3"/>
        <v>insert into business_analytic.report.orenda values(2026, 3, '2021105500', 'Київ,Фора-041 Бажана,30', NULL, -126207.12, 'Orenda');</v>
      </c>
      <c r="N15" t="str">
        <f t="shared" si="4"/>
        <v>insert into business_analytic.report.orenda values(2026, 4, '2021105500', 'Київ,Фора-041 Бажана,30', NULL, -126207.12, 'Orenda');</v>
      </c>
      <c r="O15" t="str">
        <f t="shared" si="1"/>
        <v>insert into business_analytic.report.orenda values(2026, 5, '2021105500', 'Київ,Фора-041 Бажана,30', NULL, -126207.12, 'Orenda');</v>
      </c>
    </row>
    <row r="16" spans="1:16" x14ac:dyDescent="0.3">
      <c r="A16" t="s">
        <v>120</v>
      </c>
      <c r="B16" t="s">
        <v>680</v>
      </c>
      <c r="C16" t="s">
        <v>717</v>
      </c>
      <c r="D16" s="2">
        <v>-385000</v>
      </c>
      <c r="E16" s="2">
        <v>-308000</v>
      </c>
      <c r="F16" s="2">
        <v>-308000</v>
      </c>
      <c r="G16" s="2">
        <v>-308000</v>
      </c>
      <c r="H16" s="2">
        <v>-415800</v>
      </c>
      <c r="I16" s="2"/>
      <c r="J16" s="2">
        <v>-1724800</v>
      </c>
      <c r="K16" t="str">
        <f t="shared" si="2"/>
        <v>insert into business_analytic.report.orenda values(2026, 1, '2021106300', 'Київ,Фора-048 Лісовий,23', NULL, -385000, 'Orenda');</v>
      </c>
      <c r="L16" t="str">
        <f t="shared" si="2"/>
        <v>insert into business_analytic.report.orenda values(2026, 2, '2021106300', 'Київ,Фора-048 Лісовий,23', NULL, -308000, 'Orenda');</v>
      </c>
      <c r="M16" t="str">
        <f t="shared" si="3"/>
        <v>insert into business_analytic.report.orenda values(2026, 3, '2021106300', 'Київ,Фора-048 Лісовий,23', NULL, -308000, 'Orenda');</v>
      </c>
      <c r="N16" t="str">
        <f t="shared" si="4"/>
        <v>insert into business_analytic.report.orenda values(2026, 4, '2021106300', 'Київ,Фора-048 Лісовий,23', NULL, -308000, 'Orenda');</v>
      </c>
      <c r="O16" t="str">
        <f t="shared" si="1"/>
        <v>insert into business_analytic.report.orenda values(2026, 5, '2021106300', 'Київ,Фора-048 Лісовий,23', NULL, -415800, 'Orenda');</v>
      </c>
    </row>
    <row r="17" spans="1:15" x14ac:dyDescent="0.3">
      <c r="A17" t="s">
        <v>121</v>
      </c>
      <c r="B17" t="s">
        <v>651</v>
      </c>
      <c r="C17" t="s">
        <v>718</v>
      </c>
      <c r="D17" s="2">
        <v>-362730.12</v>
      </c>
      <c r="E17" s="2">
        <v>-362749.23</v>
      </c>
      <c r="F17" s="2">
        <v>-362776.72</v>
      </c>
      <c r="G17" s="2">
        <v>-362823.92</v>
      </c>
      <c r="H17" s="2">
        <v>-362863.45</v>
      </c>
      <c r="I17" s="2"/>
      <c r="J17" s="2">
        <v>-1813943.44</v>
      </c>
      <c r="K17" t="str">
        <f t="shared" si="2"/>
        <v>insert into business_analytic.report.orenda values(2026, 1, '2021106600', 'Київ,Фора-065 Рейгана,24', NULL, -362730.12, 'Orenda');</v>
      </c>
      <c r="L17" t="str">
        <f t="shared" si="2"/>
        <v>insert into business_analytic.report.orenda values(2026, 2, '2021106600', 'Київ,Фора-065 Рейгана,24', NULL, -362749.23, 'Orenda');</v>
      </c>
      <c r="M17" t="str">
        <f t="shared" si="3"/>
        <v>insert into business_analytic.report.orenda values(2026, 3, '2021106600', 'Київ,Фора-065 Рейгана,24', NULL, -362776.72, 'Orenda');</v>
      </c>
      <c r="N17" t="str">
        <f t="shared" si="4"/>
        <v>insert into business_analytic.report.orenda values(2026, 4, '2021106600', 'Київ,Фора-065 Рейгана,24', NULL, -362823.92, 'Orenda');</v>
      </c>
      <c r="O17" t="str">
        <f t="shared" si="1"/>
        <v>insert into business_analytic.report.orenda values(2026, 5, '2021106600', 'Київ,Фора-065 Рейгана,24', NULL, -362863.45, 'Orenda');</v>
      </c>
    </row>
    <row r="18" spans="1:15" x14ac:dyDescent="0.3">
      <c r="A18" t="s">
        <v>0</v>
      </c>
      <c r="B18" t="s">
        <v>441</v>
      </c>
      <c r="C18" t="s">
        <v>720</v>
      </c>
      <c r="D18" s="2">
        <v>-330000</v>
      </c>
      <c r="E18" s="2">
        <v>-297000</v>
      </c>
      <c r="F18" s="2">
        <v>-297000</v>
      </c>
      <c r="G18" s="2">
        <v>-297000</v>
      </c>
      <c r="H18" s="2">
        <v>-343883.89999999997</v>
      </c>
      <c r="I18" s="2">
        <v>-43883.9</v>
      </c>
      <c r="J18" s="2">
        <v>-1608767.7999999998</v>
      </c>
      <c r="K18" t="str">
        <f t="shared" si="2"/>
        <v>insert into business_analytic.report.orenda values(2026, 1, '2021108100', 'БЦерква,Фора-476 Незалежності,57', NULL, -330000, 'Orenda');</v>
      </c>
      <c r="L18" t="str">
        <f t="shared" si="2"/>
        <v>insert into business_analytic.report.orenda values(2026, 2, '2021108100', 'БЦерква,Фора-476 Незалежності,57', NULL, -297000, 'Orenda');</v>
      </c>
      <c r="M18" t="str">
        <f t="shared" si="3"/>
        <v>insert into business_analytic.report.orenda values(2026, 3, '2021108100', 'БЦерква,Фора-476 Незалежності,57', NULL, -297000, 'Orenda');</v>
      </c>
      <c r="N18" t="str">
        <f t="shared" si="4"/>
        <v>insert into business_analytic.report.orenda values(2026, 4, '2021108100', 'БЦерква,Фора-476 Незалежності,57', NULL, -297000, 'Orenda');</v>
      </c>
      <c r="O18" t="str">
        <f t="shared" si="1"/>
        <v>insert into business_analytic.report.orenda values(2026, 5, '2021108100', 'БЦерква,Фора-476 Незалежності,57', NULL, -343883.9, 'Orenda');</v>
      </c>
    </row>
    <row r="19" spans="1:15" x14ac:dyDescent="0.3">
      <c r="A19" t="s">
        <v>1</v>
      </c>
      <c r="B19" t="s">
        <v>442</v>
      </c>
      <c r="C19" t="s">
        <v>721</v>
      </c>
      <c r="D19" s="2">
        <v>-459474.77999999997</v>
      </c>
      <c r="E19" s="2">
        <v>-420699.94</v>
      </c>
      <c r="F19" s="2">
        <v>-486210.32</v>
      </c>
      <c r="G19" s="2">
        <v>-478424.63</v>
      </c>
      <c r="H19" s="2">
        <v>-483227.44</v>
      </c>
      <c r="I19" s="2"/>
      <c r="J19" s="2">
        <v>-2328037.11</v>
      </c>
      <c r="K19" t="str">
        <f t="shared" si="2"/>
        <v>insert into business_analytic.report.orenda values(2026, 1, '2021108200', 'Київ,Фора-477 Бальзака,85', NULL, -459474.78, 'Orenda');</v>
      </c>
      <c r="L19" t="str">
        <f t="shared" si="2"/>
        <v>insert into business_analytic.report.orenda values(2026, 2, '2021108200', 'Київ,Фора-477 Бальзака,85', NULL, -420699.94, 'Orenda');</v>
      </c>
      <c r="M19" t="str">
        <f t="shared" si="3"/>
        <v>insert into business_analytic.report.orenda values(2026, 3, '2021108200', 'Київ,Фора-477 Бальзака,85', NULL, -486210.32, 'Orenda');</v>
      </c>
      <c r="N19" t="str">
        <f t="shared" si="4"/>
        <v>insert into business_analytic.report.orenda values(2026, 4, '2021108200', 'Київ,Фора-477 Бальзака,85', NULL, -478424.63, 'Orenda');</v>
      </c>
      <c r="O19" t="str">
        <f t="shared" si="1"/>
        <v>insert into business_analytic.report.orenda values(2026, 5, '2021108200', 'Київ,Фора-477 Бальзака,85', NULL, -483227.44, 'Orenda');</v>
      </c>
    </row>
    <row r="20" spans="1:15" x14ac:dyDescent="0.3">
      <c r="A20" t="s">
        <v>2</v>
      </c>
      <c r="B20" t="s">
        <v>443</v>
      </c>
      <c r="C20" t="s">
        <v>722</v>
      </c>
      <c r="D20" s="2">
        <v>-784506.36</v>
      </c>
      <c r="E20" s="2">
        <v>-739206.84</v>
      </c>
      <c r="F20" s="2">
        <v>-873244.64</v>
      </c>
      <c r="G20" s="2">
        <v>-862054.09</v>
      </c>
      <c r="H20" s="2">
        <v>-945912.38</v>
      </c>
      <c r="I20" s="2">
        <v>-462229.73</v>
      </c>
      <c r="J20" s="2">
        <v>-4667154.04</v>
      </c>
      <c r="K20" t="str">
        <f t="shared" si="2"/>
        <v>insert into business_analytic.report.orenda values(2026, 1, '2021108300', 'Українка,Фора-480 Соснова,5А', NULL, -784506.36, 'Orenda');</v>
      </c>
      <c r="L20" t="str">
        <f t="shared" si="2"/>
        <v>insert into business_analytic.report.orenda values(2026, 2, '2021108300', 'Українка,Фора-480 Соснова,5А', NULL, -739206.84, 'Orenda');</v>
      </c>
      <c r="M20" t="str">
        <f t="shared" si="3"/>
        <v>insert into business_analytic.report.orenda values(2026, 3, '2021108300', 'Українка,Фора-480 Соснова,5А', NULL, -873244.64, 'Orenda');</v>
      </c>
      <c r="N20" t="str">
        <f t="shared" si="4"/>
        <v>insert into business_analytic.report.orenda values(2026, 4, '2021108300', 'Українка,Фора-480 Соснова,5А', NULL, -862054.09, 'Orenda');</v>
      </c>
      <c r="O20" t="str">
        <f t="shared" si="1"/>
        <v>insert into business_analytic.report.orenda values(2026, 5, '2021108300', 'Українка,Фора-480 Соснова,5А', NULL, -945912.38, 'Orenda');</v>
      </c>
    </row>
    <row r="21" spans="1:15" x14ac:dyDescent="0.3">
      <c r="A21" t="s">
        <v>123</v>
      </c>
      <c r="B21" t="s">
        <v>444</v>
      </c>
      <c r="C21" t="s">
        <v>723</v>
      </c>
      <c r="D21" s="2">
        <v>-1434350.15</v>
      </c>
      <c r="E21" s="2">
        <v>-1434350.15</v>
      </c>
      <c r="F21" s="2">
        <v>-1434350.15</v>
      </c>
      <c r="G21" s="2">
        <v>-1434350.15</v>
      </c>
      <c r="H21" s="2">
        <v>-1434350.15</v>
      </c>
      <c r="I21" s="2"/>
      <c r="J21" s="2">
        <v>-7171750.7499999991</v>
      </c>
      <c r="K21" t="str">
        <f t="shared" si="2"/>
        <v>insert into business_analytic.report.orenda values(2026, 1, '2021111000', 'Київ,Фора-386 Чавдар,32', NULL, -1434350.15, 'Orenda');</v>
      </c>
      <c r="L21" t="str">
        <f t="shared" si="2"/>
        <v>insert into business_analytic.report.orenda values(2026, 2, '2021111000', 'Київ,Фора-386 Чавдар,32', NULL, -1434350.15, 'Orenda');</v>
      </c>
      <c r="M21" t="str">
        <f t="shared" si="3"/>
        <v>insert into business_analytic.report.orenda values(2026, 3, '2021111000', 'Київ,Фора-386 Чавдар,32', NULL, -1434350.15, 'Orenda');</v>
      </c>
      <c r="N21" t="str">
        <f t="shared" si="4"/>
        <v>insert into business_analytic.report.orenda values(2026, 4, '2021111000', 'Київ,Фора-386 Чавдар,32', NULL, -1434350.15, 'Orenda');</v>
      </c>
      <c r="O21" t="str">
        <f t="shared" si="1"/>
        <v>insert into business_analytic.report.orenda values(2026, 5, '2021111000', 'Київ,Фора-386 Чавдар,32', NULL, -1434350.15, 'Orenda');</v>
      </c>
    </row>
    <row r="22" spans="1:15" x14ac:dyDescent="0.3">
      <c r="A22" t="s">
        <v>125</v>
      </c>
      <c r="B22" t="s">
        <v>672</v>
      </c>
      <c r="C22" t="s">
        <v>724</v>
      </c>
      <c r="D22" s="2">
        <v>-467585</v>
      </c>
      <c r="E22" s="2">
        <v>-467585</v>
      </c>
      <c r="F22" s="2">
        <v>-467585</v>
      </c>
      <c r="G22" s="2">
        <v>-467585</v>
      </c>
      <c r="H22" s="2">
        <v>-467585</v>
      </c>
      <c r="I22" s="2"/>
      <c r="J22" s="2">
        <v>-2337925</v>
      </c>
      <c r="K22" t="str">
        <f t="shared" si="2"/>
        <v>insert into business_analytic.report.orenda values(2026, 1, '2021112900', 'Кагарлик,Фора-101 Торгівельна,6', NULL, -467585, 'Orenda');</v>
      </c>
      <c r="L22" t="str">
        <f t="shared" si="2"/>
        <v>insert into business_analytic.report.orenda values(2026, 2, '2021112900', 'Кагарлик,Фора-101 Торгівельна,6', NULL, -467585, 'Orenda');</v>
      </c>
      <c r="M22" t="str">
        <f t="shared" si="3"/>
        <v>insert into business_analytic.report.orenda values(2026, 3, '2021112900', 'Кагарлик,Фора-101 Торгівельна,6', NULL, -467585, 'Orenda');</v>
      </c>
      <c r="N22" t="str">
        <f t="shared" si="4"/>
        <v>insert into business_analytic.report.orenda values(2026, 4, '2021112900', 'Кагарлик,Фора-101 Торгівельна,6', NULL, -467585, 'Orenda');</v>
      </c>
      <c r="O22" t="str">
        <f t="shared" si="1"/>
        <v>insert into business_analytic.report.orenda values(2026, 5, '2021112900', 'Кагарлик,Фора-101 Торгівельна,6', NULL, -467585, 'Orenda');</v>
      </c>
    </row>
    <row r="23" spans="1:15" x14ac:dyDescent="0.3">
      <c r="A23" t="s">
        <v>126</v>
      </c>
      <c r="B23" t="s">
        <v>445</v>
      </c>
      <c r="C23" t="s">
        <v>724</v>
      </c>
      <c r="D23" s="2">
        <v>-225225</v>
      </c>
      <c r="E23" s="2">
        <v>-225225</v>
      </c>
      <c r="F23" s="2">
        <v>-225225</v>
      </c>
      <c r="G23" s="2">
        <v>-225225</v>
      </c>
      <c r="H23" s="2">
        <v>-225225</v>
      </c>
      <c r="I23" s="2"/>
      <c r="J23" s="2">
        <v>-1126125</v>
      </c>
      <c r="K23" t="str">
        <f t="shared" si="2"/>
        <v>insert into business_analytic.report.orenda values(2026, 1, '2021113000', 'Конотоп,Фора-102 Лазаревського,12', NULL, -225225, 'Orenda');</v>
      </c>
      <c r="L23" t="str">
        <f t="shared" si="2"/>
        <v>insert into business_analytic.report.orenda values(2026, 2, '2021113000', 'Конотоп,Фора-102 Лазаревського,12', NULL, -225225, 'Orenda');</v>
      </c>
      <c r="M23" t="str">
        <f t="shared" si="3"/>
        <v>insert into business_analytic.report.orenda values(2026, 3, '2021113000', 'Конотоп,Фора-102 Лазаревського,12', NULL, -225225, 'Orenda');</v>
      </c>
      <c r="N23" t="str">
        <f t="shared" si="4"/>
        <v>insert into business_analytic.report.orenda values(2026, 4, '2021113000', 'Конотоп,Фора-102 Лазаревського,12', NULL, -225225, 'Orenda');</v>
      </c>
      <c r="O23" t="str">
        <f t="shared" si="1"/>
        <v>insert into business_analytic.report.orenda values(2026, 5, '2021113000', 'Конотоп,Фора-102 Лазаревського,12', NULL, -225225, 'Orenda');</v>
      </c>
    </row>
    <row r="24" spans="1:15" x14ac:dyDescent="0.3">
      <c r="A24" t="s">
        <v>127</v>
      </c>
      <c r="B24" t="s">
        <v>446</v>
      </c>
      <c r="C24" t="s">
        <v>725</v>
      </c>
      <c r="D24" s="2">
        <v>-314612.40999999997</v>
      </c>
      <c r="E24" s="2">
        <v>-314612.40999999997</v>
      </c>
      <c r="F24" s="2">
        <v>-314612.40999999997</v>
      </c>
      <c r="G24" s="2">
        <v>-346073.64999999997</v>
      </c>
      <c r="H24" s="2">
        <v>-346073.64999999997</v>
      </c>
      <c r="I24" s="2"/>
      <c r="J24" s="2">
        <v>-1635984.5299999998</v>
      </c>
      <c r="K24" t="str">
        <f t="shared" si="2"/>
        <v>insert into business_analytic.report.orenda values(2026, 1, '2021113100', 'Немішаєве,Фора-103 Заводська,49А', NULL, -314612.41, 'Orenda');</v>
      </c>
      <c r="L24" t="str">
        <f t="shared" si="2"/>
        <v>insert into business_analytic.report.orenda values(2026, 2, '2021113100', 'Немішаєве,Фора-103 Заводська,49А', NULL, -314612.41, 'Orenda');</v>
      </c>
      <c r="M24" t="str">
        <f t="shared" si="3"/>
        <v>insert into business_analytic.report.orenda values(2026, 3, '2021113100', 'Немішаєве,Фора-103 Заводська,49А', NULL, -314612.41, 'Orenda');</v>
      </c>
      <c r="N24" t="str">
        <f t="shared" si="4"/>
        <v>insert into business_analytic.report.orenda values(2026, 4, '2021113100', 'Немішаєве,Фора-103 Заводська,49А', NULL, -346073.65, 'Orenda');</v>
      </c>
      <c r="O24" t="str">
        <f t="shared" si="4"/>
        <v>insert into business_analytic.report.orenda values(2026, 5, '2021113100', 'Немішаєве,Фора-103 Заводська,49А', NULL, -346073.65, 'Orenda');</v>
      </c>
    </row>
    <row r="25" spans="1:15" x14ac:dyDescent="0.3">
      <c r="A25" t="s">
        <v>128</v>
      </c>
      <c r="B25" t="s">
        <v>447</v>
      </c>
      <c r="C25" t="s">
        <v>724</v>
      </c>
      <c r="D25" s="2">
        <v>-325000</v>
      </c>
      <c r="E25" s="2">
        <v>-325000</v>
      </c>
      <c r="F25" s="2">
        <v>-325000</v>
      </c>
      <c r="G25" s="2">
        <v>-325000</v>
      </c>
      <c r="H25" s="2">
        <v>-325000</v>
      </c>
      <c r="I25" s="2"/>
      <c r="J25" s="2">
        <v>-1625000</v>
      </c>
      <c r="K25" t="str">
        <f t="shared" si="2"/>
        <v>insert into business_analytic.report.orenda values(2026, 1, '2021113300', 'Київ,Фора-105 Руденка,7Б', NULL, -325000, 'Orenda');</v>
      </c>
      <c r="L25" t="str">
        <f t="shared" si="2"/>
        <v>insert into business_analytic.report.orenda values(2026, 2, '2021113300', 'Київ,Фора-105 Руденка,7Б', NULL, -325000, 'Orenda');</v>
      </c>
      <c r="M25" t="str">
        <f t="shared" si="3"/>
        <v>insert into business_analytic.report.orenda values(2026, 3, '2021113300', 'Київ,Фора-105 Руденка,7Б', NULL, -325000, 'Orenda');</v>
      </c>
      <c r="N25" t="str">
        <f t="shared" si="4"/>
        <v>insert into business_analytic.report.orenda values(2026, 4, '2021113300', 'Київ,Фора-105 Руденка,7Б', NULL, -325000, 'Orenda');</v>
      </c>
      <c r="O25" t="str">
        <f t="shared" si="4"/>
        <v>insert into business_analytic.report.orenda values(2026, 5, '2021113300', 'Київ,Фора-105 Руденка,7Б', NULL, -325000, 'Orenda');</v>
      </c>
    </row>
    <row r="26" spans="1:15" x14ac:dyDescent="0.3">
      <c r="A26" t="s">
        <v>3</v>
      </c>
      <c r="B26" t="s">
        <v>698</v>
      </c>
      <c r="C26" t="s">
        <v>726</v>
      </c>
      <c r="D26" s="2">
        <v>-450844.07999999996</v>
      </c>
      <c r="E26" s="2">
        <v>-334122.36</v>
      </c>
      <c r="F26" s="2">
        <v>-334122.36</v>
      </c>
      <c r="G26" s="2">
        <v>-334122.36</v>
      </c>
      <c r="H26" s="2">
        <v>-620085.14</v>
      </c>
      <c r="I26" s="2">
        <v>-318907.18</v>
      </c>
      <c r="J26" s="2">
        <v>-2392203.4800000004</v>
      </c>
      <c r="K26" t="str">
        <f t="shared" si="2"/>
        <v>insert into business_analytic.report.orenda values(2026, 1, '2021113400', 'Київ,Фора-106 Заболотного,48А', NULL, -450844.08, 'Orenda');</v>
      </c>
      <c r="L26" t="str">
        <f t="shared" si="2"/>
        <v>insert into business_analytic.report.orenda values(2026, 2, '2021113400', 'Київ,Фора-106 Заболотного,48А', NULL, -334122.36, 'Orenda');</v>
      </c>
      <c r="M26" t="str">
        <f t="shared" si="3"/>
        <v>insert into business_analytic.report.orenda values(2026, 3, '2021113400', 'Київ,Фора-106 Заболотного,48А', NULL, -334122.36, 'Orenda');</v>
      </c>
      <c r="N26" t="str">
        <f t="shared" si="4"/>
        <v>insert into business_analytic.report.orenda values(2026, 4, '2021113400', 'Київ,Фора-106 Заболотного,48А', NULL, -334122.36, 'Orenda');</v>
      </c>
      <c r="O26" t="str">
        <f t="shared" si="4"/>
        <v>insert into business_analytic.report.orenda values(2026, 5, '2021113400', 'Київ,Фора-106 Заболотного,48А', NULL, -620085.14, 'Orenda');</v>
      </c>
    </row>
    <row r="27" spans="1:15" x14ac:dyDescent="0.3">
      <c r="A27" t="s">
        <v>129</v>
      </c>
      <c r="B27" t="s">
        <v>448</v>
      </c>
      <c r="C27" t="s">
        <v>724</v>
      </c>
      <c r="D27" s="2">
        <v>-142500</v>
      </c>
      <c r="E27" s="2">
        <v>-142500</v>
      </c>
      <c r="F27" s="2">
        <v>-142500</v>
      </c>
      <c r="G27" s="2">
        <v>-142500</v>
      </c>
      <c r="H27" s="2">
        <v>-157500</v>
      </c>
      <c r="I27" s="2"/>
      <c r="J27" s="2">
        <v>-727500</v>
      </c>
      <c r="K27" t="str">
        <f t="shared" si="2"/>
        <v>insert into business_analytic.report.orenda values(2026, 1, '2021113700', 'Рокитне,Фора-111 Першотравнева,11', NULL, -142500, 'Orenda');</v>
      </c>
      <c r="L27" t="str">
        <f t="shared" si="2"/>
        <v>insert into business_analytic.report.orenda values(2026, 2, '2021113700', 'Рокитне,Фора-111 Першотравнева,11', NULL, -142500, 'Orenda');</v>
      </c>
      <c r="M27" t="str">
        <f t="shared" si="3"/>
        <v>insert into business_analytic.report.orenda values(2026, 3, '2021113700', 'Рокитне,Фора-111 Першотравнева,11', NULL, -142500, 'Orenda');</v>
      </c>
      <c r="N27" t="str">
        <f t="shared" si="4"/>
        <v>insert into business_analytic.report.orenda values(2026, 4, '2021113700', 'Рокитне,Фора-111 Першотравнева,11', NULL, -142500, 'Orenda');</v>
      </c>
      <c r="O27" t="str">
        <f t="shared" si="4"/>
        <v>insert into business_analytic.report.orenda values(2026, 5, '2021113700', 'Рокитне,Фора-111 Першотравнева,11', NULL, -157500, 'Orenda');</v>
      </c>
    </row>
    <row r="28" spans="1:15" x14ac:dyDescent="0.3">
      <c r="A28" t="s">
        <v>130</v>
      </c>
      <c r="B28" t="s">
        <v>449</v>
      </c>
      <c r="C28" t="s">
        <v>727</v>
      </c>
      <c r="D28" s="2">
        <v>-291237.37</v>
      </c>
      <c r="E28" s="2">
        <v>-186391.91999999998</v>
      </c>
      <c r="F28" s="2">
        <v>-238814.65</v>
      </c>
      <c r="G28" s="2">
        <v>-291237.37</v>
      </c>
      <c r="H28" s="2">
        <v>-291237.37</v>
      </c>
      <c r="I28" s="2"/>
      <c r="J28" s="2">
        <v>-1298918.68</v>
      </c>
      <c r="K28" t="str">
        <f t="shared" si="2"/>
        <v>insert into business_analytic.report.orenda values(2026, 1, '2021113800', 'Бориспіль,Фора-108 Київський шлях,100', NULL, -291237.37, 'Orenda');</v>
      </c>
      <c r="L28" t="str">
        <f t="shared" si="2"/>
        <v>insert into business_analytic.report.orenda values(2026, 2, '2021113800', 'Бориспіль,Фора-108 Київський шлях,100', NULL, -186391.92, 'Orenda');</v>
      </c>
      <c r="M28" t="str">
        <f t="shared" si="3"/>
        <v>insert into business_analytic.report.orenda values(2026, 3, '2021113800', 'Бориспіль,Фора-108 Київський шлях,100', NULL, -238814.65, 'Orenda');</v>
      </c>
      <c r="N28" t="str">
        <f t="shared" si="4"/>
        <v>insert into business_analytic.report.orenda values(2026, 4, '2021113800', 'Бориспіль,Фора-108 Київський шлях,100', NULL, -291237.37, 'Orenda');</v>
      </c>
      <c r="O28" t="str">
        <f t="shared" si="4"/>
        <v>insert into business_analytic.report.orenda values(2026, 5, '2021113800', 'Бориспіль,Фора-108 Київський шлях,100', NULL, -291237.37, 'Orenda');</v>
      </c>
    </row>
    <row r="29" spans="1:15" x14ac:dyDescent="0.3">
      <c r="A29" t="s">
        <v>131</v>
      </c>
      <c r="B29" t="s">
        <v>450</v>
      </c>
      <c r="C29" t="s">
        <v>728</v>
      </c>
      <c r="D29" s="2">
        <v>-250000</v>
      </c>
      <c r="E29" s="2">
        <v>-210000</v>
      </c>
      <c r="F29" s="2">
        <v>-280000</v>
      </c>
      <c r="G29" s="2">
        <v>-280000</v>
      </c>
      <c r="H29" s="2">
        <v>-280000</v>
      </c>
      <c r="I29" s="2"/>
      <c r="J29" s="2">
        <v>-1300000</v>
      </c>
      <c r="K29" t="str">
        <f t="shared" si="2"/>
        <v>insert into business_analytic.report.orenda values(2026, 1, '2021114200', 'Київ,Фора-115 Руденка,24', NULL, -250000, 'Orenda');</v>
      </c>
      <c r="L29" t="str">
        <f t="shared" si="2"/>
        <v>insert into business_analytic.report.orenda values(2026, 2, '2021114200', 'Київ,Фора-115 Руденка,24', NULL, -210000, 'Orenda');</v>
      </c>
      <c r="M29" t="str">
        <f t="shared" si="3"/>
        <v>insert into business_analytic.report.orenda values(2026, 3, '2021114200', 'Київ,Фора-115 Руденка,24', NULL, -280000, 'Orenda');</v>
      </c>
      <c r="N29" t="str">
        <f t="shared" si="4"/>
        <v>insert into business_analytic.report.orenda values(2026, 4, '2021114200', 'Київ,Фора-115 Руденка,24', NULL, -280000, 'Orenda');</v>
      </c>
      <c r="O29" t="str">
        <f t="shared" si="4"/>
        <v>insert into business_analytic.report.orenda values(2026, 5, '2021114200', 'Київ,Фора-115 Руденка,24', NULL, -280000, 'Orenda');</v>
      </c>
    </row>
    <row r="30" spans="1:15" x14ac:dyDescent="0.3">
      <c r="A30" t="s">
        <v>4</v>
      </c>
      <c r="B30" t="s">
        <v>451</v>
      </c>
      <c r="C30" t="s">
        <v>724</v>
      </c>
      <c r="D30" s="2">
        <v>-377254.5</v>
      </c>
      <c r="E30" s="2">
        <v>-373868</v>
      </c>
      <c r="F30" s="2">
        <v>-339848.01999999996</v>
      </c>
      <c r="G30" s="2">
        <v>-377686.77999999997</v>
      </c>
      <c r="H30" s="2">
        <v>-282794.03999999998</v>
      </c>
      <c r="I30" s="2"/>
      <c r="J30" s="2">
        <v>-1751451.34</v>
      </c>
      <c r="K30" t="str">
        <f t="shared" si="2"/>
        <v>insert into business_analytic.report.orenda values(2026, 1, '2021114300', 'Київ,Фора-116 Європейського Союзу,94', NULL, -377254.5, 'Orenda');</v>
      </c>
      <c r="L30" t="str">
        <f t="shared" si="2"/>
        <v>insert into business_analytic.report.orenda values(2026, 2, '2021114300', 'Київ,Фора-116 Європейського Союзу,94', NULL, -373868, 'Orenda');</v>
      </c>
      <c r="M30" t="str">
        <f t="shared" si="3"/>
        <v>insert into business_analytic.report.orenda values(2026, 3, '2021114300', 'Київ,Фора-116 Європейського Союзу,94', NULL, -339848.02, 'Orenda');</v>
      </c>
      <c r="N30" t="str">
        <f t="shared" si="4"/>
        <v>insert into business_analytic.report.orenda values(2026, 4, '2021114300', 'Київ,Фора-116 Європейського Союзу,94', NULL, -377686.78, 'Orenda');</v>
      </c>
      <c r="O30" t="str">
        <f t="shared" si="4"/>
        <v>insert into business_analytic.report.orenda values(2026, 5, '2021114300', 'Київ,Фора-116 Європейського Союзу,94', NULL, -282794.04, 'Orenda');</v>
      </c>
    </row>
    <row r="31" spans="1:15" x14ac:dyDescent="0.3">
      <c r="A31" t="s">
        <v>132</v>
      </c>
      <c r="B31" t="s">
        <v>452</v>
      </c>
      <c r="C31" t="s">
        <v>724</v>
      </c>
      <c r="D31" s="2">
        <v>-167200</v>
      </c>
      <c r="E31" s="2">
        <v>-167200</v>
      </c>
      <c r="F31" s="2">
        <v>-167200</v>
      </c>
      <c r="G31" s="2">
        <v>-167200</v>
      </c>
      <c r="H31" s="2">
        <v>-167200</v>
      </c>
      <c r="I31" s="2"/>
      <c r="J31" s="2">
        <v>-836000</v>
      </c>
      <c r="K31" t="str">
        <f t="shared" si="2"/>
        <v>insert into business_analytic.report.orenda values(2026, 1, '2021114400', 'Київ,Фора-117 Новомостицька,2', NULL, -167200, 'Orenda');</v>
      </c>
      <c r="L31" t="str">
        <f t="shared" si="2"/>
        <v>insert into business_analytic.report.orenda values(2026, 2, '2021114400', 'Київ,Фора-117 Новомостицька,2', NULL, -167200, 'Orenda');</v>
      </c>
      <c r="M31" t="str">
        <f t="shared" si="3"/>
        <v>insert into business_analytic.report.orenda values(2026, 3, '2021114400', 'Київ,Фора-117 Новомостицька,2', NULL, -167200, 'Orenda');</v>
      </c>
      <c r="N31" t="str">
        <f t="shared" si="4"/>
        <v>insert into business_analytic.report.orenda values(2026, 4, '2021114400', 'Київ,Фора-117 Новомостицька,2', NULL, -167200, 'Orenda');</v>
      </c>
      <c r="O31" t="str">
        <f t="shared" si="4"/>
        <v>insert into business_analytic.report.orenda values(2026, 5, '2021114400', 'Київ,Фора-117 Новомостицька,2', NULL, -167200, 'Orenda');</v>
      </c>
    </row>
    <row r="32" spans="1:15" x14ac:dyDescent="0.3">
      <c r="A32" t="s">
        <v>133</v>
      </c>
      <c r="B32" t="s">
        <v>453</v>
      </c>
      <c r="C32" t="s">
        <v>724</v>
      </c>
      <c r="D32" s="2">
        <v>-253344</v>
      </c>
      <c r="E32" s="2">
        <v>-273611.51999999996</v>
      </c>
      <c r="F32" s="2">
        <v>-273611.51999999996</v>
      </c>
      <c r="G32" s="2">
        <v>-273611.51999999996</v>
      </c>
      <c r="H32" s="2">
        <v>-273611.51999999996</v>
      </c>
      <c r="I32" s="2"/>
      <c r="J32" s="2">
        <v>-1347790.0799999998</v>
      </c>
      <c r="K32" t="str">
        <f t="shared" si="2"/>
        <v>insert into business_analytic.report.orenda values(2026, 1, '2021114500', 'Київ,Фора-118 Березняківська,36А', NULL, -253344, 'Orenda');</v>
      </c>
      <c r="L32" t="str">
        <f t="shared" si="2"/>
        <v>insert into business_analytic.report.orenda values(2026, 2, '2021114500', 'Київ,Фора-118 Березняківська,36А', NULL, -273611.52, 'Orenda');</v>
      </c>
      <c r="M32" t="str">
        <f t="shared" si="3"/>
        <v>insert into business_analytic.report.orenda values(2026, 3, '2021114500', 'Київ,Фора-118 Березняківська,36А', NULL, -273611.52, 'Orenda');</v>
      </c>
      <c r="N32" t="str">
        <f t="shared" si="4"/>
        <v>insert into business_analytic.report.orenda values(2026, 4, '2021114500', 'Київ,Фора-118 Березняківська,36А', NULL, -273611.52, 'Orenda');</v>
      </c>
      <c r="O32" t="str">
        <f t="shared" si="4"/>
        <v>insert into business_analytic.report.orenda values(2026, 5, '2021114500', 'Київ,Фора-118 Березняківська,36А', NULL, -273611.52, 'Orenda');</v>
      </c>
    </row>
    <row r="33" spans="1:15" x14ac:dyDescent="0.3">
      <c r="A33" t="s">
        <v>5</v>
      </c>
      <c r="B33" t="s">
        <v>658</v>
      </c>
      <c r="C33" t="s">
        <v>724</v>
      </c>
      <c r="D33" s="2">
        <v>-668189.65999999992</v>
      </c>
      <c r="E33" s="2">
        <v>-685684.89</v>
      </c>
      <c r="F33" s="2">
        <v>-559484.74</v>
      </c>
      <c r="G33" s="2">
        <v>-618156.29999999993</v>
      </c>
      <c r="H33" s="2">
        <v>-590011.93999999994</v>
      </c>
      <c r="I33" s="2">
        <v>-159996.07</v>
      </c>
      <c r="J33" s="2">
        <v>-3281523.5999999996</v>
      </c>
      <c r="K33" t="str">
        <f t="shared" si="2"/>
        <v>insert into business_analytic.report.orenda values(2026, 1, '2021114600', 'Київ,Фора-119 Харківське Шосе,8', NULL, -668189.66, 'Orenda');</v>
      </c>
      <c r="L33" t="str">
        <f t="shared" si="2"/>
        <v>insert into business_analytic.report.orenda values(2026, 2, '2021114600', 'Київ,Фора-119 Харківське Шосе,8', NULL, -685684.89, 'Orenda');</v>
      </c>
      <c r="M33" t="str">
        <f t="shared" si="3"/>
        <v>insert into business_analytic.report.orenda values(2026, 3, '2021114600', 'Київ,Фора-119 Харківське Шосе,8', NULL, -559484.74, 'Orenda');</v>
      </c>
      <c r="N33" t="str">
        <f t="shared" si="4"/>
        <v>insert into business_analytic.report.orenda values(2026, 4, '2021114600', 'Київ,Фора-119 Харківське Шосе,8', NULL, -618156.3, 'Orenda');</v>
      </c>
      <c r="O33" t="str">
        <f t="shared" si="4"/>
        <v>insert into business_analytic.report.orenda values(2026, 5, '2021114600', 'Київ,Фора-119 Харківське Шосе,8', NULL, -590011.94, 'Orenda');</v>
      </c>
    </row>
    <row r="34" spans="1:15" x14ac:dyDescent="0.3">
      <c r="A34" t="s">
        <v>6</v>
      </c>
      <c r="B34" t="s">
        <v>454</v>
      </c>
      <c r="C34" t="s">
        <v>724</v>
      </c>
      <c r="D34" s="2">
        <v>-490144.47</v>
      </c>
      <c r="E34" s="2">
        <v>-497582.13999999996</v>
      </c>
      <c r="F34" s="2">
        <v>-441491.18</v>
      </c>
      <c r="G34" s="2">
        <v>-504118.31</v>
      </c>
      <c r="H34" s="2">
        <v>-418132</v>
      </c>
      <c r="I34" s="2"/>
      <c r="J34" s="2">
        <v>-2351468.1</v>
      </c>
      <c r="K34" t="str">
        <f t="shared" si="2"/>
        <v>insert into business_analytic.report.orenda values(2026, 1, '2021114900', 'Київ,Фора-121 Глушкова,31А', NULL, -490144.47, 'Orenda');</v>
      </c>
      <c r="L34" t="str">
        <f t="shared" si="2"/>
        <v>insert into business_analytic.report.orenda values(2026, 2, '2021114900', 'Київ,Фора-121 Глушкова,31А', NULL, -497582.14, 'Orenda');</v>
      </c>
      <c r="M34" t="str">
        <f t="shared" si="3"/>
        <v>insert into business_analytic.report.orenda values(2026, 3, '2021114900', 'Київ,Фора-121 Глушкова,31А', NULL, -441491.18, 'Orenda');</v>
      </c>
      <c r="N34" t="str">
        <f t="shared" si="4"/>
        <v>insert into business_analytic.report.orenda values(2026, 4, '2021114900', 'Київ,Фора-121 Глушкова,31А', NULL, -504118.31, 'Orenda');</v>
      </c>
      <c r="O34" t="str">
        <f t="shared" si="4"/>
        <v>insert into business_analytic.report.orenda values(2026, 5, '2021114900', 'Київ,Фора-121 Глушкова,31А', NULL, -418132, 'Orenda');</v>
      </c>
    </row>
    <row r="35" spans="1:15" x14ac:dyDescent="0.3">
      <c r="A35" t="s">
        <v>134</v>
      </c>
      <c r="B35" t="s">
        <v>455</v>
      </c>
      <c r="C35" t="s">
        <v>724</v>
      </c>
      <c r="D35" s="2">
        <v>-196477.5</v>
      </c>
      <c r="E35" s="2">
        <v>-196477.5</v>
      </c>
      <c r="F35" s="2">
        <v>-372955</v>
      </c>
      <c r="G35" s="2">
        <v>-372955</v>
      </c>
      <c r="H35" s="2">
        <v>-372955</v>
      </c>
      <c r="I35" s="2"/>
      <c r="J35" s="2">
        <v>-1511820</v>
      </c>
      <c r="K35" t="str">
        <f t="shared" si="2"/>
        <v>insert into business_analytic.report.orenda values(2026, 1, '2021115200', 'Вишневе,Фора-124 Святошинська,40', NULL, -196477.5, 'Orenda');</v>
      </c>
      <c r="L35" t="str">
        <f t="shared" si="2"/>
        <v>insert into business_analytic.report.orenda values(2026, 2, '2021115200', 'Вишневе,Фора-124 Святошинська,40', NULL, -196477.5, 'Orenda');</v>
      </c>
      <c r="M35" t="str">
        <f t="shared" si="3"/>
        <v>insert into business_analytic.report.orenda values(2026, 3, '2021115200', 'Вишневе,Фора-124 Святошинська,40', NULL, -372955, 'Orenda');</v>
      </c>
      <c r="N35" t="str">
        <f t="shared" si="4"/>
        <v>insert into business_analytic.report.orenda values(2026, 4, '2021115200', 'Вишневе,Фора-124 Святошинська,40', NULL, -372955, 'Orenda');</v>
      </c>
      <c r="O35" t="str">
        <f t="shared" si="4"/>
        <v>insert into business_analytic.report.orenda values(2026, 5, '2021115200', 'Вишневе,Фора-124 Святошинська,40', NULL, -372955, 'Orenda');</v>
      </c>
    </row>
    <row r="36" spans="1:15" x14ac:dyDescent="0.3">
      <c r="A36" t="s">
        <v>135</v>
      </c>
      <c r="B36" t="s">
        <v>687</v>
      </c>
      <c r="C36" t="s">
        <v>724</v>
      </c>
      <c r="D36" s="2">
        <v>-190540</v>
      </c>
      <c r="E36" s="2">
        <v>-192366.66999999998</v>
      </c>
      <c r="F36" s="2">
        <v>-192366.66999999998</v>
      </c>
      <c r="G36" s="2">
        <v>-192366.66999999998</v>
      </c>
      <c r="H36" s="2">
        <v>-192366.66999999998</v>
      </c>
      <c r="I36" s="2"/>
      <c r="J36" s="2">
        <v>-960006.67999999993</v>
      </c>
      <c r="K36" t="str">
        <f t="shared" si="2"/>
        <v>insert into business_analytic.report.orenda values(2026, 1, '2021115400', 'Київ,Фора-128 Вишгородська,44', NULL, -190540, 'Orenda');</v>
      </c>
      <c r="L36" t="str">
        <f t="shared" si="2"/>
        <v>insert into business_analytic.report.orenda values(2026, 2, '2021115400', 'Київ,Фора-128 Вишгородська,44', NULL, -192366.67, 'Orenda');</v>
      </c>
      <c r="M36" t="str">
        <f t="shared" si="3"/>
        <v>insert into business_analytic.report.orenda values(2026, 3, '2021115400', 'Київ,Фора-128 Вишгородська,44', NULL, -192366.67, 'Orenda');</v>
      </c>
      <c r="N36" t="str">
        <f t="shared" si="4"/>
        <v>insert into business_analytic.report.orenda values(2026, 4, '2021115400', 'Київ,Фора-128 Вишгородська,44', NULL, -192366.67, 'Orenda');</v>
      </c>
      <c r="O36" t="str">
        <f t="shared" si="4"/>
        <v>insert into business_analytic.report.orenda values(2026, 5, '2021115400', 'Київ,Фора-128 Вишгородська,44', NULL, -192366.67, 'Orenda');</v>
      </c>
    </row>
    <row r="37" spans="1:15" x14ac:dyDescent="0.3">
      <c r="A37" t="s">
        <v>136</v>
      </c>
      <c r="B37" t="s">
        <v>456</v>
      </c>
      <c r="C37" t="s">
        <v>724</v>
      </c>
      <c r="D37" s="2">
        <v>-65000</v>
      </c>
      <c r="E37" s="2">
        <v>-65000</v>
      </c>
      <c r="F37" s="2">
        <v>-65000</v>
      </c>
      <c r="G37" s="2">
        <v>-65000</v>
      </c>
      <c r="H37" s="2">
        <v>-65000</v>
      </c>
      <c r="I37" s="2"/>
      <c r="J37" s="2">
        <v>-325000</v>
      </c>
      <c r="K37" t="str">
        <f t="shared" si="2"/>
        <v>insert into business_analytic.report.orenda values(2026, 1, '2021115600', 'Буча,Фора-130 Яблунська,203Б', NULL, -65000, 'Orenda');</v>
      </c>
      <c r="L37" t="str">
        <f t="shared" si="2"/>
        <v>insert into business_analytic.report.orenda values(2026, 2, '2021115600', 'Буча,Фора-130 Яблунська,203Б', NULL, -65000, 'Orenda');</v>
      </c>
      <c r="M37" t="str">
        <f t="shared" si="3"/>
        <v>insert into business_analytic.report.orenda values(2026, 3, '2021115600', 'Буча,Фора-130 Яблунська,203Б', NULL, -65000, 'Orenda');</v>
      </c>
      <c r="N37" t="str">
        <f t="shared" si="4"/>
        <v>insert into business_analytic.report.orenda values(2026, 4, '2021115600', 'Буча,Фора-130 Яблунська,203Б', NULL, -65000, 'Orenda');</v>
      </c>
      <c r="O37" t="str">
        <f t="shared" si="4"/>
        <v>insert into business_analytic.report.orenda values(2026, 5, '2021115600', 'Буча,Фора-130 Яблунська,203Б', NULL, -65000, 'Orenda');</v>
      </c>
    </row>
    <row r="38" spans="1:15" x14ac:dyDescent="0.3">
      <c r="A38" t="s">
        <v>137</v>
      </c>
      <c r="B38" t="s">
        <v>457</v>
      </c>
      <c r="C38" t="s">
        <v>724</v>
      </c>
      <c r="D38" s="2">
        <v>-376248.88999999996</v>
      </c>
      <c r="E38" s="2">
        <v>-304517.71999999997</v>
      </c>
      <c r="F38" s="2">
        <v>-307073.51999999996</v>
      </c>
      <c r="G38" s="2">
        <v>-312116.39999999997</v>
      </c>
      <c r="H38" s="2">
        <v>-390549.70999999996</v>
      </c>
      <c r="I38" s="2"/>
      <c r="J38" s="2">
        <v>-1690506.2399999998</v>
      </c>
      <c r="K38" t="str">
        <f t="shared" si="2"/>
        <v>insert into business_analytic.report.orenda values(2026, 1, '2021115700', 'Київ,Фора-131 Борщагівська,212', NULL, -376248.89, 'Orenda');</v>
      </c>
      <c r="L38" t="str">
        <f t="shared" si="2"/>
        <v>insert into business_analytic.report.orenda values(2026, 2, '2021115700', 'Київ,Фора-131 Борщагівська,212', NULL, -304517.72, 'Orenda');</v>
      </c>
      <c r="M38" t="str">
        <f t="shared" si="3"/>
        <v>insert into business_analytic.report.orenda values(2026, 3, '2021115700', 'Київ,Фора-131 Борщагівська,212', NULL, -307073.52, 'Orenda');</v>
      </c>
      <c r="N38" t="str">
        <f t="shared" si="4"/>
        <v>insert into business_analytic.report.orenda values(2026, 4, '2021115700', 'Київ,Фора-131 Борщагівська,212', NULL, -312116.4, 'Orenda');</v>
      </c>
      <c r="O38" t="str">
        <f t="shared" si="4"/>
        <v>insert into business_analytic.report.orenda values(2026, 5, '2021115700', 'Київ,Фора-131 Борщагівська,212', NULL, -390549.71, 'Orenda');</v>
      </c>
    </row>
    <row r="39" spans="1:15" x14ac:dyDescent="0.3">
      <c r="A39" t="s">
        <v>7</v>
      </c>
      <c r="B39" t="s">
        <v>458</v>
      </c>
      <c r="C39" t="s">
        <v>724</v>
      </c>
      <c r="D39" s="2">
        <v>-276739.08999999997</v>
      </c>
      <c r="E39" s="2">
        <v>-311925.77999999997</v>
      </c>
      <c r="F39" s="2">
        <v>-394087.72</v>
      </c>
      <c r="G39" s="2">
        <v>-394629.88</v>
      </c>
      <c r="H39" s="2">
        <v>-417087.16</v>
      </c>
      <c r="I39" s="2"/>
      <c r="J39" s="2">
        <v>-1794469.63</v>
      </c>
      <c r="K39" t="str">
        <f t="shared" si="2"/>
        <v>insert into business_analytic.report.orenda values(2026, 1, '2021115800', 'Узин,Фора-132 Богуна,21А', NULL, -276739.09, 'Orenda');</v>
      </c>
      <c r="L39" t="str">
        <f t="shared" si="2"/>
        <v>insert into business_analytic.report.orenda values(2026, 2, '2021115800', 'Узин,Фора-132 Богуна,21А', NULL, -311925.78, 'Orenda');</v>
      </c>
      <c r="M39" t="str">
        <f t="shared" si="3"/>
        <v>insert into business_analytic.report.orenda values(2026, 3, '2021115800', 'Узин,Фора-132 Богуна,21А', NULL, -394087.72, 'Orenda');</v>
      </c>
      <c r="N39" t="str">
        <f t="shared" si="4"/>
        <v>insert into business_analytic.report.orenda values(2026, 4, '2021115800', 'Узин,Фора-132 Богуна,21А', NULL, -394629.88, 'Orenda');</v>
      </c>
      <c r="O39" t="str">
        <f t="shared" si="4"/>
        <v>insert into business_analytic.report.orenda values(2026, 5, '2021115800', 'Узин,Фора-132 Богуна,21А', NULL, -417087.16, 'Orenda');</v>
      </c>
    </row>
    <row r="40" spans="1:15" x14ac:dyDescent="0.3">
      <c r="A40" t="s">
        <v>138</v>
      </c>
      <c r="B40" t="s">
        <v>682</v>
      </c>
      <c r="C40" t="s">
        <v>724</v>
      </c>
      <c r="D40" s="2">
        <v>-183600</v>
      </c>
      <c r="E40" s="2">
        <v>-183600</v>
      </c>
      <c r="F40" s="2">
        <v>-183600</v>
      </c>
      <c r="G40" s="2">
        <v>-183600</v>
      </c>
      <c r="H40" s="2">
        <v>-183600</v>
      </c>
      <c r="I40" s="2"/>
      <c r="J40" s="2">
        <v>-918000</v>
      </c>
      <c r="K40" t="str">
        <f t="shared" si="2"/>
        <v>insert into business_analytic.report.orenda values(2026, 1, '2021115900', 'Новосілки,Фора-133 Садова,6А', NULL, -183600, 'Orenda');</v>
      </c>
      <c r="L40" t="str">
        <f t="shared" si="2"/>
        <v>insert into business_analytic.report.orenda values(2026, 2, '2021115900', 'Новосілки,Фора-133 Садова,6А', NULL, -183600, 'Orenda');</v>
      </c>
      <c r="M40" t="str">
        <f t="shared" si="3"/>
        <v>insert into business_analytic.report.orenda values(2026, 3, '2021115900', 'Новосілки,Фора-133 Садова,6А', NULL, -183600, 'Orenda');</v>
      </c>
      <c r="N40" t="str">
        <f t="shared" si="4"/>
        <v>insert into business_analytic.report.orenda values(2026, 4, '2021115900', 'Новосілки,Фора-133 Садова,6А', NULL, -183600, 'Orenda');</v>
      </c>
      <c r="O40" t="str">
        <f t="shared" si="4"/>
        <v>insert into business_analytic.report.orenda values(2026, 5, '2021115900', 'Новосілки,Фора-133 Садова,6А', NULL, -183600, 'Orenda');</v>
      </c>
    </row>
    <row r="41" spans="1:15" x14ac:dyDescent="0.3">
      <c r="A41" t="s">
        <v>139</v>
      </c>
      <c r="B41" t="s">
        <v>663</v>
      </c>
      <c r="C41" t="s">
        <v>724</v>
      </c>
      <c r="D41" s="2">
        <v>-120470</v>
      </c>
      <c r="E41" s="2">
        <v>-120470</v>
      </c>
      <c r="F41" s="2">
        <v>-120470</v>
      </c>
      <c r="G41" s="2">
        <v>-120470</v>
      </c>
      <c r="H41" s="2">
        <v>-120470</v>
      </c>
      <c r="I41" s="2"/>
      <c r="J41" s="2">
        <v>-602350</v>
      </c>
      <c r="K41" t="str">
        <f t="shared" si="2"/>
        <v>insert into business_analytic.report.orenda values(2026, 1, '2021116100', 'Миронівка,Фора-136 Бузницького,1', NULL, -120470, 'Orenda');</v>
      </c>
      <c r="L41" t="str">
        <f t="shared" si="2"/>
        <v>insert into business_analytic.report.orenda values(2026, 2, '2021116100', 'Миронівка,Фора-136 Бузницького,1', NULL, -120470, 'Orenda');</v>
      </c>
      <c r="M41" t="str">
        <f t="shared" si="3"/>
        <v>insert into business_analytic.report.orenda values(2026, 3, '2021116100', 'Миронівка,Фора-136 Бузницького,1', NULL, -120470, 'Orenda');</v>
      </c>
      <c r="N41" t="str">
        <f t="shared" si="4"/>
        <v>insert into business_analytic.report.orenda values(2026, 4, '2021116100', 'Миронівка,Фора-136 Бузницького,1', NULL, -120470, 'Orenda');</v>
      </c>
      <c r="O41" t="str">
        <f t="shared" si="4"/>
        <v>insert into business_analytic.report.orenda values(2026, 5, '2021116100', 'Миронівка,Фора-136 Бузницького,1', NULL, -120470, 'Orenda');</v>
      </c>
    </row>
    <row r="42" spans="1:15" x14ac:dyDescent="0.3">
      <c r="A42" t="s">
        <v>140</v>
      </c>
      <c r="B42" t="s">
        <v>459</v>
      </c>
      <c r="C42" t="s">
        <v>729</v>
      </c>
      <c r="D42" s="2">
        <v>-30327</v>
      </c>
      <c r="E42" s="2">
        <v>-30327</v>
      </c>
      <c r="F42" s="2">
        <v>-30327</v>
      </c>
      <c r="G42" s="2">
        <v>-32753.16</v>
      </c>
      <c r="H42" s="2">
        <v>-32753.16</v>
      </c>
      <c r="I42" s="2"/>
      <c r="J42" s="2">
        <v>-156487.32</v>
      </c>
      <c r="K42" t="str">
        <f t="shared" si="2"/>
        <v>insert into business_analytic.report.orenda values(2026, 1, '2021116700', 'Київ,Фора-154 Кустанайська,10', NULL, -30327, 'Orenda');</v>
      </c>
      <c r="L42" t="str">
        <f t="shared" si="2"/>
        <v>insert into business_analytic.report.orenda values(2026, 2, '2021116700', 'Київ,Фора-154 Кустанайська,10', NULL, -30327, 'Orenda');</v>
      </c>
      <c r="M42" t="str">
        <f t="shared" si="3"/>
        <v>insert into business_analytic.report.orenda values(2026, 3, '2021116700', 'Київ,Фора-154 Кустанайська,10', NULL, -30327, 'Orenda');</v>
      </c>
      <c r="N42" t="str">
        <f t="shared" si="4"/>
        <v>insert into business_analytic.report.orenda values(2026, 4, '2021116700', 'Київ,Фора-154 Кустанайська,10', NULL, -32753.16, 'Orenda');</v>
      </c>
      <c r="O42" t="str">
        <f t="shared" si="4"/>
        <v>insert into business_analytic.report.orenda values(2026, 5, '2021116700', 'Київ,Фора-154 Кустанайська,10', NULL, -32753.16, 'Orenda');</v>
      </c>
    </row>
    <row r="43" spans="1:15" x14ac:dyDescent="0.3">
      <c r="A43" t="s">
        <v>141</v>
      </c>
      <c r="B43" t="s">
        <v>460</v>
      </c>
      <c r="C43" t="s">
        <v>730</v>
      </c>
      <c r="D43" s="2">
        <v>-175000</v>
      </c>
      <c r="E43" s="2">
        <v>-175000</v>
      </c>
      <c r="F43" s="2">
        <v>-192500</v>
      </c>
      <c r="G43" s="2">
        <v>-192500</v>
      </c>
      <c r="H43" s="2">
        <v>-192500</v>
      </c>
      <c r="I43" s="2"/>
      <c r="J43" s="2">
        <v>-927500</v>
      </c>
      <c r="K43" t="str">
        <f t="shared" si="2"/>
        <v>insert into business_analytic.report.orenda values(2026, 1, '2021116800', 'Бахмач,Фора-156 Мудрого,24', NULL, -175000, 'Orenda');</v>
      </c>
      <c r="L43" t="str">
        <f t="shared" si="2"/>
        <v>insert into business_analytic.report.orenda values(2026, 2, '2021116800', 'Бахмач,Фора-156 Мудрого,24', NULL, -175000, 'Orenda');</v>
      </c>
      <c r="M43" t="str">
        <f t="shared" si="3"/>
        <v>insert into business_analytic.report.orenda values(2026, 3, '2021116800', 'Бахмач,Фора-156 Мудрого,24', NULL, -192500, 'Orenda');</v>
      </c>
      <c r="N43" t="str">
        <f t="shared" si="4"/>
        <v>insert into business_analytic.report.orenda values(2026, 4, '2021116800', 'Бахмач,Фора-156 Мудрого,24', NULL, -192500, 'Orenda');</v>
      </c>
      <c r="O43" t="str">
        <f t="shared" si="4"/>
        <v>insert into business_analytic.report.orenda values(2026, 5, '2021116800', 'Бахмач,Фора-156 Мудрого,24', NULL, -192500, 'Orenda');</v>
      </c>
    </row>
    <row r="44" spans="1:15" x14ac:dyDescent="0.3">
      <c r="A44" t="s">
        <v>142</v>
      </c>
      <c r="B44" t="s">
        <v>461</v>
      </c>
      <c r="C44" t="s">
        <v>731</v>
      </c>
      <c r="D44" s="2">
        <v>-215969.13999999998</v>
      </c>
      <c r="E44" s="2">
        <v>-215969.13999999998</v>
      </c>
      <c r="F44" s="2">
        <v>-215969.13999999998</v>
      </c>
      <c r="G44" s="2">
        <v>-215969.13999999998</v>
      </c>
      <c r="H44" s="2">
        <v>-215969.13999999998</v>
      </c>
      <c r="I44" s="2"/>
      <c r="J44" s="2">
        <v>-1079845.7</v>
      </c>
      <c r="K44" t="str">
        <f t="shared" si="2"/>
        <v>insert into business_analytic.report.orenda values(2026, 1, '2021117000', 'Київ,Фора-158 Бекешкіної,12', NULL, -215969.14, 'Orenda');</v>
      </c>
      <c r="L44" t="str">
        <f t="shared" si="2"/>
        <v>insert into business_analytic.report.orenda values(2026, 2, '2021117000', 'Київ,Фора-158 Бекешкіної,12', NULL, -215969.14, 'Orenda');</v>
      </c>
      <c r="M44" t="str">
        <f t="shared" si="3"/>
        <v>insert into business_analytic.report.orenda values(2026, 3, '2021117000', 'Київ,Фора-158 Бекешкіної,12', NULL, -215969.14, 'Orenda');</v>
      </c>
      <c r="N44" t="str">
        <f t="shared" si="4"/>
        <v>insert into business_analytic.report.orenda values(2026, 4, '2021117000', 'Київ,Фора-158 Бекешкіної,12', NULL, -215969.14, 'Orenda');</v>
      </c>
      <c r="O44" t="str">
        <f t="shared" si="4"/>
        <v>insert into business_analytic.report.orenda values(2026, 5, '2021117000', 'Київ,Фора-158 Бекешкіної,12', NULL, -215969.14, 'Orenda');</v>
      </c>
    </row>
    <row r="45" spans="1:15" x14ac:dyDescent="0.3">
      <c r="A45" t="s">
        <v>8</v>
      </c>
      <c r="B45" t="s">
        <v>462</v>
      </c>
      <c r="C45" t="s">
        <v>732</v>
      </c>
      <c r="D45" s="2">
        <v>-476471.13</v>
      </c>
      <c r="E45" s="2">
        <v>-458590.58999999997</v>
      </c>
      <c r="F45" s="2">
        <v>-425940.20999999996</v>
      </c>
      <c r="G45" s="2">
        <v>-418534.63</v>
      </c>
      <c r="H45" s="2">
        <v>-437377.31</v>
      </c>
      <c r="I45" s="2"/>
      <c r="J45" s="2">
        <v>-2216913.87</v>
      </c>
      <c r="K45" t="str">
        <f t="shared" si="2"/>
        <v>insert into business_analytic.report.orenda values(2026, 1, '2021117300', 'Київ,Фора-165 Жуля Верна,7', NULL, -476471.13, 'Orenda');</v>
      </c>
      <c r="L45" t="str">
        <f t="shared" si="2"/>
        <v>insert into business_analytic.report.orenda values(2026, 2, '2021117300', 'Київ,Фора-165 Жуля Верна,7', NULL, -458590.59, 'Orenda');</v>
      </c>
      <c r="M45" t="str">
        <f t="shared" si="3"/>
        <v>insert into business_analytic.report.orenda values(2026, 3, '2021117300', 'Київ,Фора-165 Жуля Верна,7', NULL, -425940.21, 'Orenda');</v>
      </c>
      <c r="N45" t="str">
        <f t="shared" si="4"/>
        <v>insert into business_analytic.report.orenda values(2026, 4, '2021117300', 'Київ,Фора-165 Жуля Верна,7', NULL, -418534.63, 'Orenda');</v>
      </c>
      <c r="O45" t="str">
        <f t="shared" si="4"/>
        <v>insert into business_analytic.report.orenda values(2026, 5, '2021117300', 'Київ,Фора-165 Жуля Верна,7', NULL, -437377.31, 'Orenda');</v>
      </c>
    </row>
    <row r="46" spans="1:15" x14ac:dyDescent="0.3">
      <c r="A46" t="s">
        <v>143</v>
      </c>
      <c r="B46" t="s">
        <v>686</v>
      </c>
      <c r="C46" t="s">
        <v>733</v>
      </c>
      <c r="D46" s="2">
        <v>-469400</v>
      </c>
      <c r="E46" s="2">
        <v>-516340</v>
      </c>
      <c r="F46" s="2">
        <v>-516340</v>
      </c>
      <c r="G46" s="2">
        <v>-516340</v>
      </c>
      <c r="H46" s="2">
        <v>-516340</v>
      </c>
      <c r="I46" s="2"/>
      <c r="J46" s="2">
        <v>-2534760</v>
      </c>
      <c r="K46" t="str">
        <f t="shared" si="2"/>
        <v>insert into business_analytic.report.orenda values(2026, 1, '2021117500', 'Калинівка,Фора-178 Центральна,78А', NULL, -469400, 'Orenda');</v>
      </c>
      <c r="L46" t="str">
        <f t="shared" si="2"/>
        <v>insert into business_analytic.report.orenda values(2026, 2, '2021117500', 'Калинівка,Фора-178 Центральна,78А', NULL, -516340, 'Orenda');</v>
      </c>
      <c r="M46" t="str">
        <f t="shared" si="3"/>
        <v>insert into business_analytic.report.orenda values(2026, 3, '2021117500', 'Калинівка,Фора-178 Центральна,78А', NULL, -516340, 'Orenda');</v>
      </c>
      <c r="N46" t="str">
        <f t="shared" si="4"/>
        <v>insert into business_analytic.report.orenda values(2026, 4, '2021117500', 'Калинівка,Фора-178 Центральна,78А', NULL, -516340, 'Orenda');</v>
      </c>
      <c r="O46" t="str">
        <f t="shared" si="4"/>
        <v>insert into business_analytic.report.orenda values(2026, 5, '2021117500', 'Калинівка,Фора-178 Центральна,78А', NULL, -516340, 'Orenda');</v>
      </c>
    </row>
    <row r="47" spans="1:15" x14ac:dyDescent="0.3">
      <c r="A47" t="s">
        <v>144</v>
      </c>
      <c r="B47" t="s">
        <v>463</v>
      </c>
      <c r="C47" t="s">
        <v>734</v>
      </c>
      <c r="D47" s="2">
        <v>-265050</v>
      </c>
      <c r="E47" s="2">
        <v>-265050</v>
      </c>
      <c r="F47" s="2">
        <v>-225292.5</v>
      </c>
      <c r="G47" s="2">
        <v>-225292.5</v>
      </c>
      <c r="H47" s="2">
        <v>-265050</v>
      </c>
      <c r="I47" s="2"/>
      <c r="J47" s="2">
        <v>-1245735</v>
      </c>
      <c r="K47" t="str">
        <f t="shared" si="2"/>
        <v>insert into business_analytic.report.orenda values(2026, 1, '2021118000', 'Тетіїв,Фора-185 Соборна,19', NULL, -265050, 'Orenda');</v>
      </c>
      <c r="L47" t="str">
        <f t="shared" si="2"/>
        <v>insert into business_analytic.report.orenda values(2026, 2, '2021118000', 'Тетіїв,Фора-185 Соборна,19', NULL, -265050, 'Orenda');</v>
      </c>
      <c r="M47" t="str">
        <f t="shared" si="3"/>
        <v>insert into business_analytic.report.orenda values(2026, 3, '2021118000', 'Тетіїв,Фора-185 Соборна,19', NULL, -225292.5, 'Orenda');</v>
      </c>
      <c r="N47" t="str">
        <f t="shared" si="4"/>
        <v>insert into business_analytic.report.orenda values(2026, 4, '2021118000', 'Тетіїв,Фора-185 Соборна,19', NULL, -225292.5, 'Orenda');</v>
      </c>
      <c r="O47" t="str">
        <f t="shared" si="4"/>
        <v>insert into business_analytic.report.orenda values(2026, 5, '2021118000', 'Тетіїв,Фора-185 Соборна,19', NULL, -265050, 'Orenda');</v>
      </c>
    </row>
    <row r="48" spans="1:15" x14ac:dyDescent="0.3">
      <c r="A48" t="s">
        <v>146</v>
      </c>
      <c r="B48" t="s">
        <v>669</v>
      </c>
      <c r="C48" t="s">
        <v>736</v>
      </c>
      <c r="D48" s="2">
        <v>-241639.19999999998</v>
      </c>
      <c r="E48" s="2">
        <v>-193311.35999999999</v>
      </c>
      <c r="F48" s="2">
        <v>-193311.35999999999</v>
      </c>
      <c r="G48" s="2">
        <v>-193311.35999999999</v>
      </c>
      <c r="H48" s="2">
        <v>-241639.19999999998</v>
      </c>
      <c r="I48" s="2">
        <v>-5172.45</v>
      </c>
      <c r="J48" s="2">
        <v>-1068384.93</v>
      </c>
      <c r="K48" t="str">
        <f t="shared" si="2"/>
        <v>insert into business_analytic.report.orenda values(2026, 1, '2021118500', 'Гостомель,Фора-191 Рекунова,1', NULL, -241639.2, 'Orenda');</v>
      </c>
      <c r="L48" t="str">
        <f t="shared" si="2"/>
        <v>insert into business_analytic.report.orenda values(2026, 2, '2021118500', 'Гостомель,Фора-191 Рекунова,1', NULL, -193311.36, 'Orenda');</v>
      </c>
      <c r="M48" t="str">
        <f t="shared" si="3"/>
        <v>insert into business_analytic.report.orenda values(2026, 3, '2021118500', 'Гостомель,Фора-191 Рекунова,1', NULL, -193311.36, 'Orenda');</v>
      </c>
      <c r="N48" t="str">
        <f t="shared" si="4"/>
        <v>insert into business_analytic.report.orenda values(2026, 4, '2021118500', 'Гостомель,Фора-191 Рекунова,1', NULL, -193311.36, 'Orenda');</v>
      </c>
      <c r="O48" t="str">
        <f t="shared" si="4"/>
        <v>insert into business_analytic.report.orenda values(2026, 5, '2021118500', 'Гостомель,Фора-191 Рекунова,1', NULL, -241639.2, 'Orenda');</v>
      </c>
    </row>
    <row r="49" spans="1:15" x14ac:dyDescent="0.3">
      <c r="A49" t="s">
        <v>147</v>
      </c>
      <c r="B49" t="s">
        <v>681</v>
      </c>
      <c r="C49" t="s">
        <v>737</v>
      </c>
      <c r="D49" s="2">
        <v>-429046</v>
      </c>
      <c r="E49" s="2">
        <v>-321784.5</v>
      </c>
      <c r="F49" s="2">
        <v>-321784.5</v>
      </c>
      <c r="G49" s="2">
        <v>-321784.5</v>
      </c>
      <c r="H49" s="2">
        <v>-429046</v>
      </c>
      <c r="I49" s="2"/>
      <c r="J49" s="2">
        <v>-1823445.5</v>
      </c>
      <c r="K49" t="str">
        <f t="shared" si="2"/>
        <v>insert into business_analytic.report.orenda values(2026, 1, '2021118600', 'Київ,Фора-192 Закревського,93А', NULL, -429046, 'Orenda');</v>
      </c>
      <c r="L49" t="str">
        <f t="shared" si="2"/>
        <v>insert into business_analytic.report.orenda values(2026, 2, '2021118600', 'Київ,Фора-192 Закревського,93А', NULL, -321784.5, 'Orenda');</v>
      </c>
      <c r="M49" t="str">
        <f t="shared" si="3"/>
        <v>insert into business_analytic.report.orenda values(2026, 3, '2021118600', 'Київ,Фора-192 Закревського,93А', NULL, -321784.5, 'Orenda');</v>
      </c>
      <c r="N49" t="str">
        <f t="shared" si="4"/>
        <v>insert into business_analytic.report.orenda values(2026, 4, '2021118600', 'Київ,Фора-192 Закревського,93А', NULL, -321784.5, 'Orenda');</v>
      </c>
      <c r="O49" t="str">
        <f t="shared" si="4"/>
        <v>insert into business_analytic.report.orenda values(2026, 5, '2021118600', 'Київ,Фора-192 Закревського,93А', NULL, -429046, 'Orenda');</v>
      </c>
    </row>
    <row r="50" spans="1:15" x14ac:dyDescent="0.3">
      <c r="A50" t="s">
        <v>148</v>
      </c>
      <c r="B50" t="s">
        <v>697</v>
      </c>
      <c r="C50" t="s">
        <v>738</v>
      </c>
      <c r="D50" s="2">
        <v>-242038</v>
      </c>
      <c r="E50" s="2">
        <v>-242038</v>
      </c>
      <c r="F50" s="2">
        <v>-258575</v>
      </c>
      <c r="G50" s="2">
        <v>-242038</v>
      </c>
      <c r="H50" s="2">
        <v>-269600</v>
      </c>
      <c r="I50" s="2"/>
      <c r="J50" s="2">
        <v>-1254289</v>
      </c>
      <c r="K50" t="str">
        <f t="shared" si="2"/>
        <v>insert into business_analytic.report.orenda values(2026, 1, '2021118700', 'Київ,Фора-193 Гавела Вацлава,54/26', NULL, -242038, 'Orenda');</v>
      </c>
      <c r="L50" t="str">
        <f t="shared" si="2"/>
        <v>insert into business_analytic.report.orenda values(2026, 2, '2021118700', 'Київ,Фора-193 Гавела Вацлава,54/26', NULL, -242038, 'Orenda');</v>
      </c>
      <c r="M50" t="str">
        <f t="shared" si="3"/>
        <v>insert into business_analytic.report.orenda values(2026, 3, '2021118700', 'Київ,Фора-193 Гавела Вацлава,54/26', NULL, -258575, 'Orenda');</v>
      </c>
      <c r="N50" t="str">
        <f t="shared" si="4"/>
        <v>insert into business_analytic.report.orenda values(2026, 4, '2021118700', 'Київ,Фора-193 Гавела Вацлава,54/26', NULL, -242038, 'Orenda');</v>
      </c>
      <c r="O50" t="str">
        <f t="shared" si="4"/>
        <v>insert into business_analytic.report.orenda values(2026, 5, '2021118700', 'Київ,Фора-193 Гавела Вацлава,54/26', NULL, -269600, 'Orenda');</v>
      </c>
    </row>
    <row r="51" spans="1:15" x14ac:dyDescent="0.3">
      <c r="A51" t="s">
        <v>149</v>
      </c>
      <c r="B51" t="s">
        <v>667</v>
      </c>
      <c r="C51" t="s">
        <v>739</v>
      </c>
      <c r="D51" s="2">
        <v>-820000</v>
      </c>
      <c r="E51" s="2">
        <v>-820000</v>
      </c>
      <c r="F51" s="2">
        <v>-820000</v>
      </c>
      <c r="G51" s="2">
        <v>-820000</v>
      </c>
      <c r="H51" s="2">
        <v>-820000</v>
      </c>
      <c r="I51" s="2">
        <v>-700000</v>
      </c>
      <c r="J51" s="2">
        <v>-4800000</v>
      </c>
      <c r="K51" t="str">
        <f t="shared" si="2"/>
        <v>insert into business_analytic.report.orenda values(2026, 1, '2021118800', 'Київ,Фора-194 Лагерна,46/48', NULL, -820000, 'Orenda');</v>
      </c>
      <c r="L51" t="str">
        <f t="shared" si="2"/>
        <v>insert into business_analytic.report.orenda values(2026, 2, '2021118800', 'Київ,Фора-194 Лагерна,46/48', NULL, -820000, 'Orenda');</v>
      </c>
      <c r="M51" t="str">
        <f t="shared" si="3"/>
        <v>insert into business_analytic.report.orenda values(2026, 3, '2021118800', 'Київ,Фора-194 Лагерна,46/48', NULL, -820000, 'Orenda');</v>
      </c>
      <c r="N51" t="str">
        <f t="shared" si="4"/>
        <v>insert into business_analytic.report.orenda values(2026, 4, '2021118800', 'Київ,Фора-194 Лагерна,46/48', NULL, -820000, 'Orenda');</v>
      </c>
      <c r="O51" t="str">
        <f t="shared" si="4"/>
        <v>insert into business_analytic.report.orenda values(2026, 5, '2021118800', 'Київ,Фора-194 Лагерна,46/48', NULL, -820000, 'Orenda');</v>
      </c>
    </row>
    <row r="52" spans="1:15" x14ac:dyDescent="0.3">
      <c r="A52" t="s">
        <v>150</v>
      </c>
      <c r="B52" t="s">
        <v>670</v>
      </c>
      <c r="C52" t="s">
        <v>740</v>
      </c>
      <c r="D52" s="2">
        <v>-200000</v>
      </c>
      <c r="E52" s="2">
        <v>-200000</v>
      </c>
      <c r="F52" s="2">
        <v>-200000</v>
      </c>
      <c r="G52" s="2">
        <v>-200000</v>
      </c>
      <c r="H52" s="2">
        <v>-200000</v>
      </c>
      <c r="I52" s="2"/>
      <c r="J52" s="2">
        <v>-1000000</v>
      </c>
      <c r="K52" t="str">
        <f t="shared" si="2"/>
        <v>insert into business_analytic.report.orenda values(2026, 1, '2021118900', 'Київ,Фора-195 Науки,24', NULL, -200000, 'Orenda');</v>
      </c>
      <c r="L52" t="str">
        <f t="shared" si="2"/>
        <v>insert into business_analytic.report.orenda values(2026, 2, '2021118900', 'Київ,Фора-195 Науки,24', NULL, -200000, 'Orenda');</v>
      </c>
      <c r="M52" t="str">
        <f t="shared" si="3"/>
        <v>insert into business_analytic.report.orenda values(2026, 3, '2021118900', 'Київ,Фора-195 Науки,24', NULL, -200000, 'Orenda');</v>
      </c>
      <c r="N52" t="str">
        <f t="shared" si="4"/>
        <v>insert into business_analytic.report.orenda values(2026, 4, '2021118900', 'Київ,Фора-195 Науки,24', NULL, -200000, 'Orenda');</v>
      </c>
      <c r="O52" t="str">
        <f t="shared" si="4"/>
        <v>insert into business_analytic.report.orenda values(2026, 5, '2021118900', 'Київ,Фора-195 Науки,24', NULL, -200000, 'Orenda');</v>
      </c>
    </row>
    <row r="53" spans="1:15" x14ac:dyDescent="0.3">
      <c r="A53" t="s">
        <v>151</v>
      </c>
      <c r="B53" t="s">
        <v>464</v>
      </c>
      <c r="C53" t="s">
        <v>741</v>
      </c>
      <c r="D53" s="2">
        <v>-248774.09</v>
      </c>
      <c r="E53" s="2">
        <v>-159215.41999999998</v>
      </c>
      <c r="F53" s="2">
        <v>-203994.75</v>
      </c>
      <c r="G53" s="2">
        <v>-248774.09</v>
      </c>
      <c r="H53" s="2">
        <v>-248774.09</v>
      </c>
      <c r="I53" s="2"/>
      <c r="J53" s="2">
        <v>-1109532.44</v>
      </c>
      <c r="K53" t="str">
        <f t="shared" si="2"/>
        <v>insert into business_analytic.report.orenda values(2026, 1, '2021119000', 'Бориспіль,Фора-197 Київський шлях,90', NULL, -248774.09, 'Orenda');</v>
      </c>
      <c r="L53" t="str">
        <f t="shared" si="2"/>
        <v>insert into business_analytic.report.orenda values(2026, 2, '2021119000', 'Бориспіль,Фора-197 Київський шлях,90', NULL, -159215.42, 'Orenda');</v>
      </c>
      <c r="M53" t="str">
        <f t="shared" si="3"/>
        <v>insert into business_analytic.report.orenda values(2026, 3, '2021119000', 'Бориспіль,Фора-197 Київський шлях,90', NULL, -203994.75, 'Orenda');</v>
      </c>
      <c r="N53" t="str">
        <f t="shared" si="4"/>
        <v>insert into business_analytic.report.orenda values(2026, 4, '2021119000', 'Бориспіль,Фора-197 Київський шлях,90', NULL, -248774.09, 'Orenda');</v>
      </c>
      <c r="O53" t="str">
        <f t="shared" si="4"/>
        <v>insert into business_analytic.report.orenda values(2026, 5, '2021119000', 'Бориспіль,Фора-197 Київський шлях,90', NULL, -248774.09, 'Orenda');</v>
      </c>
    </row>
    <row r="54" spans="1:15" x14ac:dyDescent="0.3">
      <c r="A54" t="s">
        <v>152</v>
      </c>
      <c r="B54" t="s">
        <v>662</v>
      </c>
      <c r="C54" t="s">
        <v>742</v>
      </c>
      <c r="D54" s="2">
        <v>-160100</v>
      </c>
      <c r="E54" s="2">
        <v>-160100</v>
      </c>
      <c r="F54" s="2">
        <v>-160100</v>
      </c>
      <c r="G54" s="2">
        <v>-160100</v>
      </c>
      <c r="H54" s="2">
        <v>-160100</v>
      </c>
      <c r="I54" s="2">
        <v>-500</v>
      </c>
      <c r="J54" s="2">
        <v>-801000</v>
      </c>
      <c r="K54" t="str">
        <f t="shared" si="2"/>
        <v>insert into business_analytic.report.orenda values(2026, 1, '2021119100', 'Київ,Фора-198 Кіпріанова,8', NULL, -160100, 'Orenda');</v>
      </c>
      <c r="L54" t="str">
        <f t="shared" si="2"/>
        <v>insert into business_analytic.report.orenda values(2026, 2, '2021119100', 'Київ,Фора-198 Кіпріанова,8', NULL, -160100, 'Orenda');</v>
      </c>
      <c r="M54" t="str">
        <f t="shared" si="3"/>
        <v>insert into business_analytic.report.orenda values(2026, 3, '2021119100', 'Київ,Фора-198 Кіпріанова,8', NULL, -160100, 'Orenda');</v>
      </c>
      <c r="N54" t="str">
        <f t="shared" si="4"/>
        <v>insert into business_analytic.report.orenda values(2026, 4, '2021119100', 'Київ,Фора-198 Кіпріанова,8', NULL, -160100, 'Orenda');</v>
      </c>
      <c r="O54" t="str">
        <f t="shared" si="4"/>
        <v>insert into business_analytic.report.orenda values(2026, 5, '2021119100', 'Київ,Фора-198 Кіпріанова,8', NULL, -160100, 'Orenda');</v>
      </c>
    </row>
    <row r="55" spans="1:15" x14ac:dyDescent="0.3">
      <c r="A55" t="s">
        <v>153</v>
      </c>
      <c r="B55" t="s">
        <v>465</v>
      </c>
      <c r="C55" t="s">
        <v>743</v>
      </c>
      <c r="D55" s="2">
        <v>-175008.13999999998</v>
      </c>
      <c r="E55" s="2">
        <v>-153008.13999999998</v>
      </c>
      <c r="F55" s="2">
        <v>-191008.13999999998</v>
      </c>
      <c r="G55" s="2">
        <v>-191008.13999999998</v>
      </c>
      <c r="H55" s="2">
        <v>-191008.13999999998</v>
      </c>
      <c r="I55" s="2">
        <v>-11981.42</v>
      </c>
      <c r="J55" s="2">
        <v>-913022.11999999988</v>
      </c>
      <c r="K55" t="str">
        <f t="shared" si="2"/>
        <v>insert into business_analytic.report.orenda values(2026, 1, '2021119200', 'Київ,Фора-199 Миропільська,11', NULL, -175008.14, 'Orenda');</v>
      </c>
      <c r="L55" t="str">
        <f t="shared" si="2"/>
        <v>insert into business_analytic.report.orenda values(2026, 2, '2021119200', 'Київ,Фора-199 Миропільська,11', NULL, -153008.14, 'Orenda');</v>
      </c>
      <c r="M55" t="str">
        <f t="shared" si="3"/>
        <v>insert into business_analytic.report.orenda values(2026, 3, '2021119200', 'Київ,Фора-199 Миропільська,11', NULL, -191008.14, 'Orenda');</v>
      </c>
      <c r="N55" t="str">
        <f t="shared" si="4"/>
        <v>insert into business_analytic.report.orenda values(2026, 4, '2021119200', 'Київ,Фора-199 Миропільська,11', NULL, -191008.14, 'Orenda');</v>
      </c>
      <c r="O55" t="str">
        <f t="shared" si="4"/>
        <v>insert into business_analytic.report.orenda values(2026, 5, '2021119200', 'Київ,Фора-199 Миропільська,11', NULL, -191008.14, 'Orenda');</v>
      </c>
    </row>
    <row r="56" spans="1:15" x14ac:dyDescent="0.3">
      <c r="A56" t="s">
        <v>154</v>
      </c>
      <c r="B56" t="s">
        <v>466</v>
      </c>
      <c r="C56" t="s">
        <v>744</v>
      </c>
      <c r="D56" s="2">
        <v>-43506</v>
      </c>
      <c r="E56" s="2">
        <v>-43506</v>
      </c>
      <c r="F56" s="2">
        <v>-43506</v>
      </c>
      <c r="G56" s="2">
        <v>-43506</v>
      </c>
      <c r="H56" s="2">
        <v>-43506</v>
      </c>
      <c r="I56" s="2"/>
      <c r="J56" s="2">
        <v>-217530</v>
      </c>
      <c r="K56" t="str">
        <f t="shared" si="2"/>
        <v>insert into business_analytic.report.orenda values(2026, 1, '2021119400', 'БЦерква,Фора-202 Павліченко,63', NULL, -43506, 'Orenda');</v>
      </c>
      <c r="L56" t="str">
        <f t="shared" si="2"/>
        <v>insert into business_analytic.report.orenda values(2026, 2, '2021119400', 'БЦерква,Фора-202 Павліченко,63', NULL, -43506, 'Orenda');</v>
      </c>
      <c r="M56" t="str">
        <f t="shared" si="3"/>
        <v>insert into business_analytic.report.orenda values(2026, 3, '2021119400', 'БЦерква,Фора-202 Павліченко,63', NULL, -43506, 'Orenda');</v>
      </c>
      <c r="N56" t="str">
        <f t="shared" si="4"/>
        <v>insert into business_analytic.report.orenda values(2026, 4, '2021119400', 'БЦерква,Фора-202 Павліченко,63', NULL, -43506, 'Orenda');</v>
      </c>
      <c r="O56" t="str">
        <f t="shared" si="4"/>
        <v>insert into business_analytic.report.orenda values(2026, 5, '2021119400', 'БЦерква,Фора-202 Павліченко,63', NULL, -43506, 'Orenda');</v>
      </c>
    </row>
    <row r="57" spans="1:15" x14ac:dyDescent="0.3">
      <c r="A57" t="s">
        <v>155</v>
      </c>
      <c r="B57" t="s">
        <v>652</v>
      </c>
      <c r="C57" t="s">
        <v>745</v>
      </c>
      <c r="D57" s="2">
        <v>-150000</v>
      </c>
      <c r="E57" s="2">
        <v>-150000</v>
      </c>
      <c r="F57" s="2">
        <v>-150000</v>
      </c>
      <c r="G57" s="2">
        <v>-150000</v>
      </c>
      <c r="H57" s="2">
        <v>-150000</v>
      </c>
      <c r="I57" s="2"/>
      <c r="J57" s="2">
        <v>-750000</v>
      </c>
      <c r="K57" t="str">
        <f t="shared" si="2"/>
        <v>insert into business_analytic.report.orenda values(2026, 1, '2021120000', 'Бровари,Фора-208 Грушевського,17', NULL, -150000, 'Orenda');</v>
      </c>
      <c r="L57" t="str">
        <f t="shared" si="2"/>
        <v>insert into business_analytic.report.orenda values(2026, 2, '2021120000', 'Бровари,Фора-208 Грушевського,17', NULL, -150000, 'Orenda');</v>
      </c>
      <c r="M57" t="str">
        <f t="shared" si="3"/>
        <v>insert into business_analytic.report.orenda values(2026, 3, '2021120000', 'Бровари,Фора-208 Грушевського,17', NULL, -150000, 'Orenda');</v>
      </c>
      <c r="N57" t="str">
        <f t="shared" si="4"/>
        <v>insert into business_analytic.report.orenda values(2026, 4, '2021120000', 'Бровари,Фора-208 Грушевського,17', NULL, -150000, 'Orenda');</v>
      </c>
      <c r="O57" t="str">
        <f t="shared" si="4"/>
        <v>insert into business_analytic.report.orenda values(2026, 5, '2021120000', 'Бровари,Фора-208 Грушевського,17', NULL, -150000, 'Orenda');</v>
      </c>
    </row>
    <row r="58" spans="1:15" x14ac:dyDescent="0.3">
      <c r="A58" t="s">
        <v>156</v>
      </c>
      <c r="B58" t="s">
        <v>677</v>
      </c>
      <c r="C58" t="s">
        <v>746</v>
      </c>
      <c r="D58" s="2">
        <v>-252754.81999999998</v>
      </c>
      <c r="E58" s="2">
        <v>-230823.50999999998</v>
      </c>
      <c r="F58" s="2">
        <v>-254332</v>
      </c>
      <c r="G58" s="2">
        <v>-254332</v>
      </c>
      <c r="H58" s="2">
        <v>-254332</v>
      </c>
      <c r="I58" s="2">
        <v>-54069.549999999996</v>
      </c>
      <c r="J58" s="2">
        <v>-1300643.8799999999</v>
      </c>
      <c r="K58" t="str">
        <f t="shared" si="2"/>
        <v>insert into business_analytic.report.orenda values(2026, 1, '2021120100', 'Борова,Фора-209 Миру,15', NULL, -252754.82, 'Orenda');</v>
      </c>
      <c r="L58" t="str">
        <f t="shared" si="2"/>
        <v>insert into business_analytic.report.orenda values(2026, 2, '2021120100', 'Борова,Фора-209 Миру,15', NULL, -230823.51, 'Orenda');</v>
      </c>
      <c r="M58" t="str">
        <f t="shared" si="3"/>
        <v>insert into business_analytic.report.orenda values(2026, 3, '2021120100', 'Борова,Фора-209 Миру,15', NULL, -254332, 'Orenda');</v>
      </c>
      <c r="N58" t="str">
        <f t="shared" si="4"/>
        <v>insert into business_analytic.report.orenda values(2026, 4, '2021120100', 'Борова,Фора-209 Миру,15', NULL, -254332, 'Orenda');</v>
      </c>
      <c r="O58" t="str">
        <f t="shared" si="4"/>
        <v>insert into business_analytic.report.orenda values(2026, 5, '2021120100', 'Борова,Фора-209 Миру,15', NULL, -254332, 'Orenda');</v>
      </c>
    </row>
    <row r="59" spans="1:15" x14ac:dyDescent="0.3">
      <c r="A59" t="s">
        <v>157</v>
      </c>
      <c r="B59" t="s">
        <v>467</v>
      </c>
      <c r="C59" t="s">
        <v>747</v>
      </c>
      <c r="D59" s="2">
        <v>-141014</v>
      </c>
      <c r="E59" s="2">
        <v>-141014</v>
      </c>
      <c r="F59" s="2">
        <v>-170000</v>
      </c>
      <c r="G59" s="2">
        <v>-170000</v>
      </c>
      <c r="H59" s="2">
        <v>-170000</v>
      </c>
      <c r="I59" s="2"/>
      <c r="J59" s="2">
        <v>-792028</v>
      </c>
      <c r="K59" t="str">
        <f t="shared" si="2"/>
        <v>insert into business_analytic.report.orenda values(2026, 1, '2021120200', 'Київ,Фора-210 Ревуцького,26', NULL, -141014, 'Orenda');</v>
      </c>
      <c r="L59" t="str">
        <f t="shared" si="2"/>
        <v>insert into business_analytic.report.orenda values(2026, 2, '2021120200', 'Київ,Фора-210 Ревуцького,26', NULL, -141014, 'Orenda');</v>
      </c>
      <c r="M59" t="str">
        <f t="shared" si="3"/>
        <v>insert into business_analytic.report.orenda values(2026, 3, '2021120200', 'Київ,Фора-210 Ревуцького,26', NULL, -170000, 'Orenda');</v>
      </c>
      <c r="N59" t="str">
        <f t="shared" si="4"/>
        <v>insert into business_analytic.report.orenda values(2026, 4, '2021120200', 'Київ,Фора-210 Ревуцького,26', NULL, -170000, 'Orenda');</v>
      </c>
      <c r="O59" t="str">
        <f t="shared" si="4"/>
        <v>insert into business_analytic.report.orenda values(2026, 5, '2021120200', 'Київ,Фора-210 Ревуцького,26', NULL, -170000, 'Orenda');</v>
      </c>
    </row>
    <row r="60" spans="1:15" x14ac:dyDescent="0.3">
      <c r="A60" t="s">
        <v>158</v>
      </c>
      <c r="B60" t="s">
        <v>468</v>
      </c>
      <c r="C60" t="s">
        <v>748</v>
      </c>
      <c r="D60" s="2">
        <v>-181500</v>
      </c>
      <c r="E60" s="2">
        <v>-196020</v>
      </c>
      <c r="F60" s="2">
        <v>-196020</v>
      </c>
      <c r="G60" s="2">
        <v>-196020</v>
      </c>
      <c r="H60" s="2">
        <v>-247962</v>
      </c>
      <c r="I60" s="2"/>
      <c r="J60" s="2">
        <v>-1017522</v>
      </c>
      <c r="K60" t="str">
        <f t="shared" si="2"/>
        <v>insert into business_analytic.report.orenda values(2026, 1, '2021120300', 'Київ,Фора-211 Драгоманова,19', NULL, -181500, 'Orenda');</v>
      </c>
      <c r="L60" t="str">
        <f t="shared" si="2"/>
        <v>insert into business_analytic.report.orenda values(2026, 2, '2021120300', 'Київ,Фора-211 Драгоманова,19', NULL, -196020, 'Orenda');</v>
      </c>
      <c r="M60" t="str">
        <f t="shared" si="3"/>
        <v>insert into business_analytic.report.orenda values(2026, 3, '2021120300', 'Київ,Фора-211 Драгоманова,19', NULL, -196020, 'Orenda');</v>
      </c>
      <c r="N60" t="str">
        <f t="shared" si="4"/>
        <v>insert into business_analytic.report.orenda values(2026, 4, '2021120300', 'Київ,Фора-211 Драгоманова,19', NULL, -196020, 'Orenda');</v>
      </c>
      <c r="O60" t="str">
        <f t="shared" si="4"/>
        <v>insert into business_analytic.report.orenda values(2026, 5, '2021120300', 'Київ,Фора-211 Драгоманова,19', NULL, -247962, 'Orenda');</v>
      </c>
    </row>
    <row r="61" spans="1:15" x14ac:dyDescent="0.3">
      <c r="A61" t="s">
        <v>9</v>
      </c>
      <c r="B61" t="s">
        <v>469</v>
      </c>
      <c r="C61" t="s">
        <v>749</v>
      </c>
      <c r="D61" s="2">
        <v>-546550.42999999993</v>
      </c>
      <c r="E61" s="2">
        <v>-516708.95999999996</v>
      </c>
      <c r="F61" s="2">
        <v>-505520.83999999997</v>
      </c>
      <c r="G61" s="2">
        <v>-423000.87</v>
      </c>
      <c r="H61" s="2">
        <v>-432970.69999999995</v>
      </c>
      <c r="I61" s="2"/>
      <c r="J61" s="2">
        <v>-2424751.7999999998</v>
      </c>
      <c r="K61" t="str">
        <f t="shared" si="2"/>
        <v>insert into business_analytic.report.orenda values(2026, 1, '2021120700', 'Київ,Фора-217 Світлицького,26Б', NULL, -546550.43, 'Orenda');</v>
      </c>
      <c r="L61" t="str">
        <f t="shared" si="2"/>
        <v>insert into business_analytic.report.orenda values(2026, 2, '2021120700', 'Київ,Фора-217 Світлицького,26Б', NULL, -516708.96, 'Orenda');</v>
      </c>
      <c r="M61" t="str">
        <f t="shared" si="3"/>
        <v>insert into business_analytic.report.orenda values(2026, 3, '2021120700', 'Київ,Фора-217 Світлицького,26Б', NULL, -505520.84, 'Orenda');</v>
      </c>
      <c r="N61" t="str">
        <f t="shared" si="4"/>
        <v>insert into business_analytic.report.orenda values(2026, 4, '2021120700', 'Київ,Фора-217 Світлицького,26Б', NULL, -423000.87, 'Orenda');</v>
      </c>
      <c r="O61" t="str">
        <f t="shared" si="4"/>
        <v>insert into business_analytic.report.orenda values(2026, 5, '2021120700', 'Київ,Фора-217 Світлицького,26Б', NULL, -432970.7, 'Orenda');</v>
      </c>
    </row>
    <row r="62" spans="1:15" x14ac:dyDescent="0.3">
      <c r="A62" t="s">
        <v>159</v>
      </c>
      <c r="B62" t="s">
        <v>470</v>
      </c>
      <c r="C62" t="s">
        <v>750</v>
      </c>
      <c r="D62" s="2">
        <v>-113985</v>
      </c>
      <c r="E62" s="2">
        <v>-113985</v>
      </c>
      <c r="F62" s="2">
        <v>-113985</v>
      </c>
      <c r="G62" s="2">
        <v>-113985</v>
      </c>
      <c r="H62" s="2">
        <v>-113985</v>
      </c>
      <c r="I62" s="2"/>
      <c r="J62" s="2">
        <v>-569925</v>
      </c>
      <c r="K62" t="str">
        <f t="shared" si="2"/>
        <v>insert into business_analytic.report.orenda values(2026, 1, '2021120800', 'Київ,Фора-218 Тампере,12', NULL, -113985, 'Orenda');</v>
      </c>
      <c r="L62" t="str">
        <f t="shared" si="2"/>
        <v>insert into business_analytic.report.orenda values(2026, 2, '2021120800', 'Київ,Фора-218 Тампере,12', NULL, -113985, 'Orenda');</v>
      </c>
      <c r="M62" t="str">
        <f t="shared" si="3"/>
        <v>insert into business_analytic.report.orenda values(2026, 3, '2021120800', 'Київ,Фора-218 Тампере,12', NULL, -113985, 'Orenda');</v>
      </c>
      <c r="N62" t="str">
        <f t="shared" si="4"/>
        <v>insert into business_analytic.report.orenda values(2026, 4, '2021120800', 'Київ,Фора-218 Тампере,12', NULL, -113985, 'Orenda');</v>
      </c>
      <c r="O62" t="str">
        <f t="shared" si="4"/>
        <v>insert into business_analytic.report.orenda values(2026, 5, '2021120800', 'Київ,Фора-218 Тампере,12', NULL, -113985, 'Orenda');</v>
      </c>
    </row>
    <row r="63" spans="1:15" x14ac:dyDescent="0.3">
      <c r="A63" t="s">
        <v>160</v>
      </c>
      <c r="B63" t="s">
        <v>666</v>
      </c>
      <c r="C63" t="s">
        <v>751</v>
      </c>
      <c r="D63" s="2">
        <v>-366640.07999999996</v>
      </c>
      <c r="E63" s="2">
        <v>-366640.07999999996</v>
      </c>
      <c r="F63" s="2">
        <v>-366640.07999999996</v>
      </c>
      <c r="G63" s="2">
        <v>-387416.36</v>
      </c>
      <c r="H63" s="2">
        <v>-403304.1</v>
      </c>
      <c r="I63" s="2"/>
      <c r="J63" s="2">
        <v>-1890640.7</v>
      </c>
      <c r="K63" t="str">
        <f t="shared" si="2"/>
        <v>insert into business_analytic.report.orenda values(2026, 1, '2021121000', 'Гнідин,Фора-220 Олександрівська,22', NULL, -366640.08, 'Orenda');</v>
      </c>
      <c r="L63" t="str">
        <f t="shared" si="2"/>
        <v>insert into business_analytic.report.orenda values(2026, 2, '2021121000', 'Гнідин,Фора-220 Олександрівська,22', NULL, -366640.08, 'Orenda');</v>
      </c>
      <c r="M63" t="str">
        <f t="shared" si="3"/>
        <v>insert into business_analytic.report.orenda values(2026, 3, '2021121000', 'Гнідин,Фора-220 Олександрівська,22', NULL, -366640.08, 'Orenda');</v>
      </c>
      <c r="N63" t="str">
        <f t="shared" si="4"/>
        <v>insert into business_analytic.report.orenda values(2026, 4, '2021121000', 'Гнідин,Фора-220 Олександрівська,22', NULL, -387416.36, 'Orenda');</v>
      </c>
      <c r="O63" t="str">
        <f t="shared" si="4"/>
        <v>insert into business_analytic.report.orenda values(2026, 5, '2021121000', 'Гнідин,Фора-220 Олександрівська,22', NULL, -403304.1, 'Orenda');</v>
      </c>
    </row>
    <row r="64" spans="1:15" x14ac:dyDescent="0.3">
      <c r="A64" t="s">
        <v>161</v>
      </c>
      <c r="B64" t="s">
        <v>694</v>
      </c>
      <c r="C64" t="s">
        <v>752</v>
      </c>
      <c r="D64" s="2">
        <v>-154166.66</v>
      </c>
      <c r="E64" s="2">
        <v>-154166.66</v>
      </c>
      <c r="F64" s="2">
        <v>-154166.66</v>
      </c>
      <c r="G64" s="2">
        <v>-183333.33</v>
      </c>
      <c r="H64" s="2">
        <v>-183333.33</v>
      </c>
      <c r="I64" s="2"/>
      <c r="J64" s="2">
        <v>-829166.64</v>
      </c>
      <c r="K64" t="str">
        <f t="shared" si="2"/>
        <v>insert into business_analytic.report.orenda values(2026, 1, '2021121100', 'Київ,Фора-221 Хмельницького,39/2', NULL, -154166.66, 'Orenda');</v>
      </c>
      <c r="L64" t="str">
        <f t="shared" si="2"/>
        <v>insert into business_analytic.report.orenda values(2026, 2, '2021121100', 'Київ,Фора-221 Хмельницького,39/2', NULL, -154166.66, 'Orenda');</v>
      </c>
      <c r="M64" t="str">
        <f t="shared" si="3"/>
        <v>insert into business_analytic.report.orenda values(2026, 3, '2021121100', 'Київ,Фора-221 Хмельницького,39/2', NULL, -154166.66, 'Orenda');</v>
      </c>
      <c r="N64" t="str">
        <f t="shared" si="4"/>
        <v>insert into business_analytic.report.orenda values(2026, 4, '2021121100', 'Київ,Фора-221 Хмельницького,39/2', NULL, -183333.33, 'Orenda');</v>
      </c>
      <c r="O64" t="str">
        <f t="shared" si="4"/>
        <v>insert into business_analytic.report.orenda values(2026, 5, '2021121100', 'Київ,Фора-221 Хмельницького,39/2', NULL, -183333.33, 'Orenda');</v>
      </c>
    </row>
    <row r="65" spans="1:15" x14ac:dyDescent="0.3">
      <c r="A65" t="s">
        <v>162</v>
      </c>
      <c r="B65" t="s">
        <v>471</v>
      </c>
      <c r="C65" t="s">
        <v>753</v>
      </c>
      <c r="D65" s="2">
        <v>-224188.79999999999</v>
      </c>
      <c r="E65" s="2">
        <v>-224188.79999999999</v>
      </c>
      <c r="F65" s="2">
        <v>-224188.79999999999</v>
      </c>
      <c r="G65" s="2">
        <v>-224188.79999999999</v>
      </c>
      <c r="H65" s="2">
        <v>-224188.79999999999</v>
      </c>
      <c r="I65" s="2"/>
      <c r="J65" s="2">
        <v>-1120944</v>
      </c>
      <c r="K65" t="str">
        <f t="shared" si="2"/>
        <v>insert into business_analytic.report.orenda values(2026, 1, '2021121300', 'Бровари,Фора-223 Шевченка,10В', NULL, -224188.8, 'Orenda');</v>
      </c>
      <c r="L65" t="str">
        <f t="shared" si="2"/>
        <v>insert into business_analytic.report.orenda values(2026, 2, '2021121300', 'Бровари,Фора-223 Шевченка,10В', NULL, -224188.8, 'Orenda');</v>
      </c>
      <c r="M65" t="str">
        <f t="shared" si="3"/>
        <v>insert into business_analytic.report.orenda values(2026, 3, '2021121300', 'Бровари,Фора-223 Шевченка,10В', NULL, -224188.8, 'Orenda');</v>
      </c>
      <c r="N65" t="str">
        <f t="shared" si="4"/>
        <v>insert into business_analytic.report.orenda values(2026, 4, '2021121300', 'Бровари,Фора-223 Шевченка,10В', NULL, -224188.8, 'Orenda');</v>
      </c>
      <c r="O65" t="str">
        <f t="shared" si="4"/>
        <v>insert into business_analytic.report.orenda values(2026, 5, '2021121300', 'Бровари,Фора-223 Шевченка,10В', NULL, -224188.8, 'Orenda');</v>
      </c>
    </row>
    <row r="66" spans="1:15" x14ac:dyDescent="0.3">
      <c r="A66" t="s">
        <v>10</v>
      </c>
      <c r="B66" t="s">
        <v>678</v>
      </c>
      <c r="C66" t="s">
        <v>754</v>
      </c>
      <c r="D66" s="2">
        <v>-478967.3</v>
      </c>
      <c r="E66" s="2">
        <v>-467241.91</v>
      </c>
      <c r="F66" s="2">
        <v>-509091.54</v>
      </c>
      <c r="G66" s="2">
        <v>-547124.91</v>
      </c>
      <c r="H66" s="2">
        <v>-587088.04999999993</v>
      </c>
      <c r="I66" s="2"/>
      <c r="J66" s="2">
        <v>-2589513.71</v>
      </c>
      <c r="K66" t="str">
        <f t="shared" si="2"/>
        <v>insert into business_analytic.report.orenda values(2026, 1, '2021121500', 'Київ,Фора-225 Новопирогівська,31', NULL, -478967.3, 'Orenda');</v>
      </c>
      <c r="L66" t="str">
        <f t="shared" si="2"/>
        <v>insert into business_analytic.report.orenda values(2026, 2, '2021121500', 'Київ,Фора-225 Новопирогівська,31', NULL, -467241.91, 'Orenda');</v>
      </c>
      <c r="M66" t="str">
        <f t="shared" si="3"/>
        <v>insert into business_analytic.report.orenda values(2026, 3, '2021121500', 'Київ,Фора-225 Новопирогівська,31', NULL, -509091.54, 'Orenda');</v>
      </c>
      <c r="N66" t="str">
        <f t="shared" si="4"/>
        <v>insert into business_analytic.report.orenda values(2026, 4, '2021121500', 'Київ,Фора-225 Новопирогівська,31', NULL, -547124.91, 'Orenda');</v>
      </c>
      <c r="O66" t="str">
        <f t="shared" si="4"/>
        <v>insert into business_analytic.report.orenda values(2026, 5, '2021121500', 'Київ,Фора-225 Новопирогівська,31', NULL, -587088.05, 'Orenda');</v>
      </c>
    </row>
    <row r="67" spans="1:15" x14ac:dyDescent="0.3">
      <c r="A67" t="s">
        <v>163</v>
      </c>
      <c r="B67" t="s">
        <v>472</v>
      </c>
      <c r="C67" t="s">
        <v>755</v>
      </c>
      <c r="D67" s="2">
        <v>-315916.15999999997</v>
      </c>
      <c r="E67" s="2">
        <v>-315916.15999999997</v>
      </c>
      <c r="F67" s="2">
        <v>-315916.15999999997</v>
      </c>
      <c r="G67" s="2">
        <v>-315916.15999999997</v>
      </c>
      <c r="H67" s="2">
        <v>-315916.15999999997</v>
      </c>
      <c r="I67" s="2"/>
      <c r="J67" s="2">
        <v>-1579580.7999999998</v>
      </c>
      <c r="K67" t="str">
        <f t="shared" si="2"/>
        <v>insert into business_analytic.report.orenda values(2026, 1, '2021121900', 'Ржищів,Фора-231 Соборна,23', NULL, -315916.16, 'Orenda');</v>
      </c>
      <c r="L67" t="str">
        <f t="shared" si="2"/>
        <v>insert into business_analytic.report.orenda values(2026, 2, '2021121900', 'Ржищів,Фора-231 Соборна,23', NULL, -315916.16, 'Orenda');</v>
      </c>
      <c r="M67" t="str">
        <f t="shared" si="3"/>
        <v>insert into business_analytic.report.orenda values(2026, 3, '2021121900', 'Ржищів,Фора-231 Соборна,23', NULL, -315916.16, 'Orenda');</v>
      </c>
      <c r="N67" t="str">
        <f t="shared" si="4"/>
        <v>insert into business_analytic.report.orenda values(2026, 4, '2021121900', 'Ржищів,Фора-231 Соборна,23', NULL, -315916.16, 'Orenda');</v>
      </c>
      <c r="O67" t="str">
        <f t="shared" si="4"/>
        <v>insert into business_analytic.report.orenda values(2026, 5, '2021121900', 'Ржищів,Фора-231 Соборна,23', NULL, -315916.16, 'Orenda');</v>
      </c>
    </row>
    <row r="68" spans="1:15" x14ac:dyDescent="0.3">
      <c r="A68" t="s">
        <v>164</v>
      </c>
      <c r="B68" t="s">
        <v>660</v>
      </c>
      <c r="C68" t="s">
        <v>756</v>
      </c>
      <c r="D68" s="2">
        <v>-240282.5</v>
      </c>
      <c r="E68" s="2">
        <v>-240455.11</v>
      </c>
      <c r="F68" s="2">
        <v>-240703.41</v>
      </c>
      <c r="G68" s="2">
        <v>-230725.03</v>
      </c>
      <c r="H68" s="2">
        <v>-281891.51</v>
      </c>
      <c r="I68" s="2"/>
      <c r="J68" s="2">
        <v>-1234057.56</v>
      </c>
      <c r="K68" t="str">
        <f t="shared" si="2"/>
        <v>insert into business_analytic.report.orenda values(2026, 1, '2021122200', 'Київ,Фора-234 Ентузіастів,37', NULL, -240282.5, 'Orenda');</v>
      </c>
      <c r="L68" t="str">
        <f t="shared" si="2"/>
        <v>insert into business_analytic.report.orenda values(2026, 2, '2021122200', 'Київ,Фора-234 Ентузіастів,37', NULL, -240455.11, 'Orenda');</v>
      </c>
      <c r="M68" t="str">
        <f t="shared" si="3"/>
        <v>insert into business_analytic.report.orenda values(2026, 3, '2021122200', 'Київ,Фора-234 Ентузіастів,37', NULL, -240703.41, 'Orenda');</v>
      </c>
      <c r="N68" t="str">
        <f t="shared" si="4"/>
        <v>insert into business_analytic.report.orenda values(2026, 4, '2021122200', 'Київ,Фора-234 Ентузіастів,37', NULL, -230725.03, 'Orenda');</v>
      </c>
      <c r="O68" t="str">
        <f t="shared" si="4"/>
        <v>insert into business_analytic.report.orenda values(2026, 5, '2021122200', 'Київ,Фора-234 Ентузіастів,37', NULL, -281891.51, 'Orenda');</v>
      </c>
    </row>
    <row r="69" spans="1:15" x14ac:dyDescent="0.3">
      <c r="A69" t="s">
        <v>165</v>
      </c>
      <c r="B69" t="s">
        <v>473</v>
      </c>
      <c r="C69" t="s">
        <v>757</v>
      </c>
      <c r="D69" s="2">
        <v>-60000</v>
      </c>
      <c r="E69" s="2">
        <v>-60000</v>
      </c>
      <c r="F69" s="2">
        <v>-60000</v>
      </c>
      <c r="G69" s="2">
        <v>-60000</v>
      </c>
      <c r="H69" s="2">
        <v>-60000</v>
      </c>
      <c r="I69" s="2"/>
      <c r="J69" s="2">
        <v>-300000</v>
      </c>
      <c r="K69" t="str">
        <f t="shared" si="2"/>
        <v>insert into business_analytic.report.orenda values(2026, 1, '2021122300', 'Київ,Фора-236 Закревського,87', NULL, -60000, 'Orenda');</v>
      </c>
      <c r="L69" t="str">
        <f t="shared" si="2"/>
        <v>insert into business_analytic.report.orenda values(2026, 2, '2021122300', 'Київ,Фора-236 Закревського,87', NULL, -60000, 'Orenda');</v>
      </c>
      <c r="M69" t="str">
        <f t="shared" si="3"/>
        <v>insert into business_analytic.report.orenda values(2026, 3, '2021122300', 'Київ,Фора-236 Закревського,87', NULL, -60000, 'Orenda');</v>
      </c>
      <c r="N69" t="str">
        <f t="shared" si="4"/>
        <v>insert into business_analytic.report.orenda values(2026, 4, '2021122300', 'Київ,Фора-236 Закревського,87', NULL, -60000, 'Orenda');</v>
      </c>
      <c r="O69" t="str">
        <f t="shared" si="4"/>
        <v>insert into business_analytic.report.orenda values(2026, 5, '2021122300', 'Київ,Фора-236 Закревського,87', NULL, -60000, 'Orenda');</v>
      </c>
    </row>
    <row r="70" spans="1:15" x14ac:dyDescent="0.3">
      <c r="A70" t="s">
        <v>11</v>
      </c>
      <c r="B70" t="s">
        <v>474</v>
      </c>
      <c r="C70" t="s">
        <v>758</v>
      </c>
      <c r="D70" s="2">
        <v>-405092.38</v>
      </c>
      <c r="E70" s="2">
        <v>-379472.20999999996</v>
      </c>
      <c r="F70" s="2">
        <v>-454555.23</v>
      </c>
      <c r="G70" s="2">
        <v>-291059.39999999997</v>
      </c>
      <c r="H70" s="2">
        <v>-125000</v>
      </c>
      <c r="I70" s="2"/>
      <c r="J70" s="2">
        <v>-1655179.22</v>
      </c>
      <c r="K70" t="str">
        <f t="shared" si="2"/>
        <v>insert into business_analytic.report.orenda values(2026, 1, '2021122600', 'Козин,Фора-240 Солов'яненка,60', NULL, -405092.38, 'Orenda');</v>
      </c>
      <c r="L70" t="str">
        <f t="shared" si="2"/>
        <v>insert into business_analytic.report.orenda values(2026, 2, '2021122600', 'Козин,Фора-240 Солов'яненка,60', NULL, -379472.21, 'Orenda');</v>
      </c>
      <c r="M70" t="str">
        <f t="shared" si="3"/>
        <v>insert into business_analytic.report.orenda values(2026, 3, '2021122600', 'Козин,Фора-240 Солов'яненка,60', NULL, -454555.23, 'Orenda');</v>
      </c>
      <c r="N70" t="str">
        <f t="shared" si="4"/>
        <v>insert into business_analytic.report.orenda values(2026, 4, '2021122600', 'Козин,Фора-240 Солов'яненка,60', NULL, -291059.4, 'Orenda');</v>
      </c>
      <c r="O70" t="str">
        <f t="shared" si="4"/>
        <v>insert into business_analytic.report.orenda values(2026, 5, '2021122600', 'Козин,Фора-240 Солов'яненка,60', NULL, -125000, 'Orenda');</v>
      </c>
    </row>
    <row r="71" spans="1:15" x14ac:dyDescent="0.3">
      <c r="A71" t="s">
        <v>166</v>
      </c>
      <c r="B71" t="s">
        <v>475</v>
      </c>
      <c r="C71" t="s">
        <v>759</v>
      </c>
      <c r="D71" s="2">
        <v>-167531.81</v>
      </c>
      <c r="E71" s="2">
        <v>-167531.81</v>
      </c>
      <c r="F71" s="2">
        <v>-184284.99</v>
      </c>
      <c r="G71" s="2">
        <v>-184284.99</v>
      </c>
      <c r="H71" s="2">
        <v>-184284.99</v>
      </c>
      <c r="I71" s="2"/>
      <c r="J71" s="2">
        <v>-887918.59000000008</v>
      </c>
      <c r="K71" t="str">
        <f t="shared" si="2"/>
        <v>insert into business_analytic.report.orenda values(2026, 1, '2021122700', 'Київ,Фора-243 Печенізька,1/7А', NULL, -167531.81, 'Orenda');</v>
      </c>
      <c r="L71" t="str">
        <f t="shared" si="2"/>
        <v>insert into business_analytic.report.orenda values(2026, 2, '2021122700', 'Київ,Фора-243 Печенізька,1/7А', NULL, -167531.81, 'Orenda');</v>
      </c>
      <c r="M71" t="str">
        <f t="shared" si="3"/>
        <v>insert into business_analytic.report.orenda values(2026, 3, '2021122700', 'Київ,Фора-243 Печенізька,1/7А', NULL, -184284.99, 'Orenda');</v>
      </c>
      <c r="N71" t="str">
        <f t="shared" si="4"/>
        <v>insert into business_analytic.report.orenda values(2026, 4, '2021122700', 'Київ,Фора-243 Печенізька,1/7А', NULL, -184284.99, 'Orenda');</v>
      </c>
      <c r="O71" t="str">
        <f t="shared" si="4"/>
        <v>insert into business_analytic.report.orenda values(2026, 5, '2021122700', 'Київ,Фора-243 Печенізька,1/7А', NULL, -184284.99, 'Orenda');</v>
      </c>
    </row>
    <row r="72" spans="1:15" x14ac:dyDescent="0.3">
      <c r="A72" t="s">
        <v>167</v>
      </c>
      <c r="B72" t="s">
        <v>476</v>
      </c>
      <c r="C72" t="s">
        <v>760</v>
      </c>
      <c r="D72" s="2">
        <v>-84469.819999999992</v>
      </c>
      <c r="E72" s="2">
        <v>-84469.819999999992</v>
      </c>
      <c r="F72" s="2">
        <v>-92916.800000000003</v>
      </c>
      <c r="G72" s="2">
        <v>-92916.800000000003</v>
      </c>
      <c r="H72" s="2">
        <v>-92916.800000000003</v>
      </c>
      <c r="I72" s="2"/>
      <c r="J72" s="2">
        <v>-447690.04</v>
      </c>
      <c r="K72" t="str">
        <f t="shared" ref="K72:L135" si="5">"insert into business_analytic.report.orenda values("&amp;2026&amp;", "&amp;D$7&amp;", '"&amp;$A72&amp;"', '"&amp;$B72&amp;"', "&amp;"NULL"&amp;", "&amp;IF(D72="",0,D72)&amp;", "&amp;"'Orenda'"&amp;");"</f>
        <v>insert into business_analytic.report.orenda values(2026, 1, '2021122800', 'Київ,Фора-244 Гетьмана,34', NULL, -84469.82, 'Orenda');</v>
      </c>
      <c r="L72" t="str">
        <f t="shared" si="5"/>
        <v>insert into business_analytic.report.orenda values(2026, 2, '2021122800', 'Київ,Фора-244 Гетьмана,34', NULL, -84469.82, 'Orenda');</v>
      </c>
      <c r="M72" t="str">
        <f t="shared" si="3"/>
        <v>insert into business_analytic.report.orenda values(2026, 3, '2021122800', 'Київ,Фора-244 Гетьмана,34', NULL, -92916.8, 'Orenda');</v>
      </c>
      <c r="N72" t="str">
        <f t="shared" si="4"/>
        <v>insert into business_analytic.report.orenda values(2026, 4, '2021122800', 'Київ,Фора-244 Гетьмана,34', NULL, -92916.8, 'Orenda');</v>
      </c>
      <c r="O72" t="str">
        <f t="shared" si="4"/>
        <v>insert into business_analytic.report.orenda values(2026, 5, '2021122800', 'Київ,Фора-244 Гетьмана,34', NULL, -92916.8, 'Orenda');</v>
      </c>
    </row>
    <row r="73" spans="1:15" x14ac:dyDescent="0.3">
      <c r="A73" t="s">
        <v>168</v>
      </c>
      <c r="B73" t="s">
        <v>477</v>
      </c>
      <c r="C73" t="s">
        <v>761</v>
      </c>
      <c r="D73" s="2">
        <v>-403578.04</v>
      </c>
      <c r="E73" s="2">
        <v>-403578.04</v>
      </c>
      <c r="F73" s="2">
        <v>-443935.83999999997</v>
      </c>
      <c r="G73" s="2">
        <v>-443935.83999999997</v>
      </c>
      <c r="H73" s="2">
        <v>-443935.83999999997</v>
      </c>
      <c r="I73" s="2"/>
      <c r="J73" s="2">
        <v>-2138963.5999999996</v>
      </c>
      <c r="K73" t="str">
        <f t="shared" si="5"/>
        <v>insert into business_analytic.report.orenda values(2026, 1, '2021122900', 'Київ,Фора-245 Борщагівська,128', NULL, -403578.04, 'Orenda');</v>
      </c>
      <c r="L73" t="str">
        <f t="shared" si="5"/>
        <v>insert into business_analytic.report.orenda values(2026, 2, '2021122900', 'Київ,Фора-245 Борщагівська,128', NULL, -403578.04, 'Orenda');</v>
      </c>
      <c r="M73" t="str">
        <f t="shared" ref="M73:M136" si="6">"insert into business_analytic.report.orenda values("&amp;2026&amp;", "&amp;F$7&amp;", '"&amp;$A73&amp;"', '"&amp;$B73&amp;"', "&amp;"NULL"&amp;", "&amp;IF(F73="",0,F73)&amp;", "&amp;"'Orenda'"&amp;");"</f>
        <v>insert into business_analytic.report.orenda values(2026, 3, '2021122900', 'Київ,Фора-245 Борщагівська,128', NULL, -443935.84, 'Orenda');</v>
      </c>
      <c r="N73" t="str">
        <f t="shared" ref="N73:O136" si="7">"insert into business_analytic.report.orenda values("&amp;2026&amp;", "&amp;G$7&amp;", '"&amp;$A73&amp;"', '"&amp;$B73&amp;"', "&amp;"NULL"&amp;", "&amp;IF(G73="",0,G73)&amp;", "&amp;"'Orenda'"&amp;");"</f>
        <v>insert into business_analytic.report.orenda values(2026, 4, '2021122900', 'Київ,Фора-245 Борщагівська,128', NULL, -443935.84, 'Orenda');</v>
      </c>
      <c r="O73" t="str">
        <f t="shared" si="7"/>
        <v>insert into business_analytic.report.orenda values(2026, 5, '2021122900', 'Київ,Фора-245 Борщагівська,128', NULL, -443935.84, 'Orenda');</v>
      </c>
    </row>
    <row r="74" spans="1:15" x14ac:dyDescent="0.3">
      <c r="A74" t="s">
        <v>12</v>
      </c>
      <c r="B74" t="s">
        <v>478</v>
      </c>
      <c r="C74" t="s">
        <v>762</v>
      </c>
      <c r="D74" s="2">
        <v>-147175.37</v>
      </c>
      <c r="E74" s="2">
        <v>-196628.41</v>
      </c>
      <c r="F74" s="2">
        <v>-191348.28</v>
      </c>
      <c r="G74" s="2">
        <v>-193618.43</v>
      </c>
      <c r="H74" s="2">
        <v>-256753.66999999998</v>
      </c>
      <c r="I74" s="2"/>
      <c r="J74" s="2">
        <v>-985524.15999999992</v>
      </c>
      <c r="K74" t="str">
        <f t="shared" si="5"/>
        <v>insert into business_analytic.report.orenda values(2026, 1, '2021123000', 'Бориспіль,Фора-246 Калмикова,2', NULL, -147175.37, 'Orenda');</v>
      </c>
      <c r="L74" t="str">
        <f t="shared" si="5"/>
        <v>insert into business_analytic.report.orenda values(2026, 2, '2021123000', 'Бориспіль,Фора-246 Калмикова,2', NULL, -196628.41, 'Orenda');</v>
      </c>
      <c r="M74" t="str">
        <f t="shared" si="6"/>
        <v>insert into business_analytic.report.orenda values(2026, 3, '2021123000', 'Бориспіль,Фора-246 Калмикова,2', NULL, -191348.28, 'Orenda');</v>
      </c>
      <c r="N74" t="str">
        <f t="shared" si="7"/>
        <v>insert into business_analytic.report.orenda values(2026, 4, '2021123000', 'Бориспіль,Фора-246 Калмикова,2', NULL, -193618.43, 'Orenda');</v>
      </c>
      <c r="O74" t="str">
        <f t="shared" si="7"/>
        <v>insert into business_analytic.report.orenda values(2026, 5, '2021123000', 'Бориспіль,Фора-246 Калмикова,2', NULL, -256753.67, 'Orenda');</v>
      </c>
    </row>
    <row r="75" spans="1:15" x14ac:dyDescent="0.3">
      <c r="A75" t="s">
        <v>169</v>
      </c>
      <c r="B75" t="s">
        <v>479</v>
      </c>
      <c r="C75" t="s">
        <v>762</v>
      </c>
      <c r="D75" s="2">
        <v>-363549.95999999996</v>
      </c>
      <c r="E75" s="2">
        <v>-363549.95999999996</v>
      </c>
      <c r="F75" s="2">
        <v>-363549.95999999996</v>
      </c>
      <c r="G75" s="2">
        <v>-363549.95999999996</v>
      </c>
      <c r="H75" s="2">
        <v>-363549.95999999996</v>
      </c>
      <c r="I75" s="2"/>
      <c r="J75" s="2">
        <v>-1817749.7999999998</v>
      </c>
      <c r="K75" t="str">
        <f t="shared" si="5"/>
        <v>insert into business_analytic.report.orenda values(2026, 1, '2021123100', 'Кагарлик,Фора-247 Незалежності,14', NULL, -363549.96, 'Orenda');</v>
      </c>
      <c r="L75" t="str">
        <f t="shared" si="5"/>
        <v>insert into business_analytic.report.orenda values(2026, 2, '2021123100', 'Кагарлик,Фора-247 Незалежності,14', NULL, -363549.96, 'Orenda');</v>
      </c>
      <c r="M75" t="str">
        <f t="shared" si="6"/>
        <v>insert into business_analytic.report.orenda values(2026, 3, '2021123100', 'Кагарлик,Фора-247 Незалежності,14', NULL, -363549.96, 'Orenda');</v>
      </c>
      <c r="N75" t="str">
        <f t="shared" si="7"/>
        <v>insert into business_analytic.report.orenda values(2026, 4, '2021123100', 'Кагарлик,Фора-247 Незалежності,14', NULL, -363549.96, 'Orenda');</v>
      </c>
      <c r="O75" t="str">
        <f t="shared" si="7"/>
        <v>insert into business_analytic.report.orenda values(2026, 5, '2021123100', 'Кагарлик,Фора-247 Незалежності,14', NULL, -363549.96, 'Orenda');</v>
      </c>
    </row>
    <row r="76" spans="1:15" x14ac:dyDescent="0.3">
      <c r="A76" t="s">
        <v>170</v>
      </c>
      <c r="B76" t="s">
        <v>480</v>
      </c>
      <c r="C76" t="s">
        <v>763</v>
      </c>
      <c r="D76" s="2">
        <v>-84469.819999999992</v>
      </c>
      <c r="E76" s="2">
        <v>-84469.819999999992</v>
      </c>
      <c r="F76" s="2">
        <v>-92916.800000000003</v>
      </c>
      <c r="G76" s="2">
        <v>-92916.800000000003</v>
      </c>
      <c r="H76" s="2">
        <v>-92916.800000000003</v>
      </c>
      <c r="I76" s="2"/>
      <c r="J76" s="2">
        <v>-447690.04000000004</v>
      </c>
      <c r="K76" t="str">
        <f t="shared" si="5"/>
        <v>insert into business_analytic.report.orenda values(2026, 1, '2021123400', 'Київ,Фора-250 Ружинська,26/41', NULL, -84469.82, 'Orenda');</v>
      </c>
      <c r="L76" t="str">
        <f t="shared" si="5"/>
        <v>insert into business_analytic.report.orenda values(2026, 2, '2021123400', 'Київ,Фора-250 Ружинська,26/41', NULL, -84469.82, 'Orenda');</v>
      </c>
      <c r="M76" t="str">
        <f t="shared" si="6"/>
        <v>insert into business_analytic.report.orenda values(2026, 3, '2021123400', 'Київ,Фора-250 Ружинська,26/41', NULL, -92916.8, 'Orenda');</v>
      </c>
      <c r="N76" t="str">
        <f t="shared" si="7"/>
        <v>insert into business_analytic.report.orenda values(2026, 4, '2021123400', 'Київ,Фора-250 Ружинська,26/41', NULL, -92916.8, 'Orenda');</v>
      </c>
      <c r="O76" t="str">
        <f t="shared" si="7"/>
        <v>insert into business_analytic.report.orenda values(2026, 5, '2021123400', 'Київ,Фора-250 Ружинська,26/41', NULL, -92916.8, 'Orenda');</v>
      </c>
    </row>
    <row r="77" spans="1:15" x14ac:dyDescent="0.3">
      <c r="A77" t="s">
        <v>171</v>
      </c>
      <c r="B77" t="s">
        <v>661</v>
      </c>
      <c r="C77" t="s">
        <v>764</v>
      </c>
      <c r="D77" s="2">
        <v>-112626.43</v>
      </c>
      <c r="E77" s="2">
        <v>-112626.43</v>
      </c>
      <c r="F77" s="2">
        <v>-123889.06999999999</v>
      </c>
      <c r="G77" s="2">
        <v>-123889.06999999999</v>
      </c>
      <c r="H77" s="2">
        <v>-123889.06999999999</v>
      </c>
      <c r="I77" s="2"/>
      <c r="J77" s="2">
        <v>-596920.06999999995</v>
      </c>
      <c r="K77" t="str">
        <f t="shared" si="5"/>
        <v>insert into business_analytic.report.orenda values(2026, 1, '2021123500', 'Київ,Фора-251 Покотила,7/2', NULL, -112626.43, 'Orenda');</v>
      </c>
      <c r="L77" t="str">
        <f t="shared" si="5"/>
        <v>insert into business_analytic.report.orenda values(2026, 2, '2021123500', 'Київ,Фора-251 Покотила,7/2', NULL, -112626.43, 'Orenda');</v>
      </c>
      <c r="M77" t="str">
        <f t="shared" si="6"/>
        <v>insert into business_analytic.report.orenda values(2026, 3, '2021123500', 'Київ,Фора-251 Покотила,7/2', NULL, -123889.07, 'Orenda');</v>
      </c>
      <c r="N77" t="str">
        <f t="shared" si="7"/>
        <v>insert into business_analytic.report.orenda values(2026, 4, '2021123500', 'Київ,Фора-251 Покотила,7/2', NULL, -123889.07, 'Orenda');</v>
      </c>
      <c r="O77" t="str">
        <f t="shared" si="7"/>
        <v>insert into business_analytic.report.orenda values(2026, 5, '2021123500', 'Київ,Фора-251 Покотила,7/2', NULL, -123889.07, 'Orenda');</v>
      </c>
    </row>
    <row r="78" spans="1:15" x14ac:dyDescent="0.3">
      <c r="A78" t="s">
        <v>172</v>
      </c>
      <c r="B78" t="s">
        <v>481</v>
      </c>
      <c r="C78" t="s">
        <v>765</v>
      </c>
      <c r="D78" s="2">
        <v>-180000</v>
      </c>
      <c r="E78" s="2">
        <v>-180000</v>
      </c>
      <c r="F78" s="2">
        <v>-180000</v>
      </c>
      <c r="G78" s="2">
        <v>-200000</v>
      </c>
      <c r="H78" s="2">
        <v>-200000</v>
      </c>
      <c r="I78" s="2"/>
      <c r="J78" s="2">
        <v>-940000</v>
      </c>
      <c r="K78" t="str">
        <f t="shared" si="5"/>
        <v>insert into business_analytic.report.orenda values(2026, 1, '2021123600', 'Бородянка,Фора-252 Паркова,2', NULL, -180000, 'Orenda');</v>
      </c>
      <c r="L78" t="str">
        <f t="shared" si="5"/>
        <v>insert into business_analytic.report.orenda values(2026, 2, '2021123600', 'Бородянка,Фора-252 Паркова,2', NULL, -180000, 'Orenda');</v>
      </c>
      <c r="M78" t="str">
        <f t="shared" si="6"/>
        <v>insert into business_analytic.report.orenda values(2026, 3, '2021123600', 'Бородянка,Фора-252 Паркова,2', NULL, -180000, 'Orenda');</v>
      </c>
      <c r="N78" t="str">
        <f t="shared" si="7"/>
        <v>insert into business_analytic.report.orenda values(2026, 4, '2021123600', 'Бородянка,Фора-252 Паркова,2', NULL, -200000, 'Orenda');</v>
      </c>
      <c r="O78" t="str">
        <f t="shared" si="7"/>
        <v>insert into business_analytic.report.orenda values(2026, 5, '2021123600', 'Бородянка,Фора-252 Паркова,2', NULL, -200000, 'Orenda');</v>
      </c>
    </row>
    <row r="79" spans="1:15" x14ac:dyDescent="0.3">
      <c r="A79" t="s">
        <v>13</v>
      </c>
      <c r="B79" t="s">
        <v>690</v>
      </c>
      <c r="C79" t="s">
        <v>766</v>
      </c>
      <c r="D79" s="2">
        <v>-377797.74</v>
      </c>
      <c r="E79" s="2">
        <v>-374341.86</v>
      </c>
      <c r="F79" s="2">
        <v>-419340.79999999999</v>
      </c>
      <c r="G79" s="2">
        <v>-402002.38</v>
      </c>
      <c r="H79" s="2">
        <v>-422991.12</v>
      </c>
      <c r="I79" s="2">
        <v>-121248.84</v>
      </c>
      <c r="J79" s="2">
        <v>-2117722.7400000002</v>
      </c>
      <c r="K79" t="str">
        <f t="shared" si="5"/>
        <v>insert into business_analytic.report.orenda values(2026, 1, '2021124000', 'Київ,Фора-257 Білецького,3', NULL, -377797.74, 'Orenda');</v>
      </c>
      <c r="L79" t="str">
        <f t="shared" si="5"/>
        <v>insert into business_analytic.report.orenda values(2026, 2, '2021124000', 'Київ,Фора-257 Білецького,3', NULL, -374341.86, 'Orenda');</v>
      </c>
      <c r="M79" t="str">
        <f t="shared" si="6"/>
        <v>insert into business_analytic.report.orenda values(2026, 3, '2021124000', 'Київ,Фора-257 Білецького,3', NULL, -419340.8, 'Orenda');</v>
      </c>
      <c r="N79" t="str">
        <f t="shared" si="7"/>
        <v>insert into business_analytic.report.orenda values(2026, 4, '2021124000', 'Київ,Фора-257 Білецького,3', NULL, -402002.38, 'Orenda');</v>
      </c>
      <c r="O79" t="str">
        <f t="shared" si="7"/>
        <v>insert into business_analytic.report.orenda values(2026, 5, '2021124000', 'Київ,Фора-257 Білецького,3', NULL, -422991.12, 'Orenda');</v>
      </c>
    </row>
    <row r="80" spans="1:15" x14ac:dyDescent="0.3">
      <c r="A80" t="s">
        <v>173</v>
      </c>
      <c r="B80" t="s">
        <v>482</v>
      </c>
      <c r="C80" t="s">
        <v>767</v>
      </c>
      <c r="D80" s="2">
        <v>-113850</v>
      </c>
      <c r="E80" s="2">
        <v>-113850</v>
      </c>
      <c r="F80" s="2">
        <v>-113850</v>
      </c>
      <c r="G80" s="2">
        <v>-113850</v>
      </c>
      <c r="H80" s="2">
        <v>-113850</v>
      </c>
      <c r="I80" s="2"/>
      <c r="J80" s="2">
        <v>-569250</v>
      </c>
      <c r="K80" t="str">
        <f t="shared" si="5"/>
        <v>insert into business_analytic.report.orenda values(2026, 1, '2021124200', 'Бровари,Фора-259 Київська,92', NULL, -113850, 'Orenda');</v>
      </c>
      <c r="L80" t="str">
        <f t="shared" si="5"/>
        <v>insert into business_analytic.report.orenda values(2026, 2, '2021124200', 'Бровари,Фора-259 Київська,92', NULL, -113850, 'Orenda');</v>
      </c>
      <c r="M80" t="str">
        <f t="shared" si="6"/>
        <v>insert into business_analytic.report.orenda values(2026, 3, '2021124200', 'Бровари,Фора-259 Київська,92', NULL, -113850, 'Orenda');</v>
      </c>
      <c r="N80" t="str">
        <f t="shared" si="7"/>
        <v>insert into business_analytic.report.orenda values(2026, 4, '2021124200', 'Бровари,Фора-259 Київська,92', NULL, -113850, 'Orenda');</v>
      </c>
      <c r="O80" t="str">
        <f t="shared" si="7"/>
        <v>insert into business_analytic.report.orenda values(2026, 5, '2021124200', 'Бровари,Фора-259 Київська,92', NULL, -113850, 'Orenda');</v>
      </c>
    </row>
    <row r="81" spans="1:15" x14ac:dyDescent="0.3">
      <c r="A81" t="s">
        <v>14</v>
      </c>
      <c r="B81" t="s">
        <v>483</v>
      </c>
      <c r="C81" t="s">
        <v>768</v>
      </c>
      <c r="D81" s="2">
        <v>-229584.66999999998</v>
      </c>
      <c r="E81" s="2">
        <v>-214204.33</v>
      </c>
      <c r="F81" s="2">
        <v>-235030.36</v>
      </c>
      <c r="G81" s="2">
        <v>-240018.88999999998</v>
      </c>
      <c r="H81" s="2">
        <v>-253201.28999999998</v>
      </c>
      <c r="I81" s="2"/>
      <c r="J81" s="2">
        <v>-1172039.54</v>
      </c>
      <c r="K81" t="str">
        <f t="shared" si="5"/>
        <v>insert into business_analytic.report.orenda values(2026, 1, '2021124500', 'Київ,Фора-262 Науки,88', NULL, -229584.67, 'Orenda');</v>
      </c>
      <c r="L81" t="str">
        <f t="shared" si="5"/>
        <v>insert into business_analytic.report.orenda values(2026, 2, '2021124500', 'Київ,Фора-262 Науки,88', NULL, -214204.33, 'Orenda');</v>
      </c>
      <c r="M81" t="str">
        <f t="shared" si="6"/>
        <v>insert into business_analytic.report.orenda values(2026, 3, '2021124500', 'Київ,Фора-262 Науки,88', NULL, -235030.36, 'Orenda');</v>
      </c>
      <c r="N81" t="str">
        <f t="shared" si="7"/>
        <v>insert into business_analytic.report.orenda values(2026, 4, '2021124500', 'Київ,Фора-262 Науки,88', NULL, -240018.89, 'Orenda');</v>
      </c>
      <c r="O81" t="str">
        <f t="shared" si="7"/>
        <v>insert into business_analytic.report.orenda values(2026, 5, '2021124500', 'Київ,Фора-262 Науки,88', NULL, -253201.29, 'Orenda');</v>
      </c>
    </row>
    <row r="82" spans="1:15" x14ac:dyDescent="0.3">
      <c r="A82" t="s">
        <v>15</v>
      </c>
      <c r="B82" t="s">
        <v>484</v>
      </c>
      <c r="C82" t="s">
        <v>769</v>
      </c>
      <c r="D82" s="2">
        <v>-205666.75999999998</v>
      </c>
      <c r="E82" s="2">
        <v>-194786.46</v>
      </c>
      <c r="F82" s="2">
        <v>-272771.64</v>
      </c>
      <c r="G82" s="2">
        <v>-267262.58999999997</v>
      </c>
      <c r="H82" s="2">
        <v>-277805.58999999997</v>
      </c>
      <c r="I82" s="2">
        <v>-117229.98999999999</v>
      </c>
      <c r="J82" s="2">
        <v>-1335523.0299999998</v>
      </c>
      <c r="K82" t="str">
        <f t="shared" si="5"/>
        <v>insert into business_analytic.report.orenda values(2026, 1, '2021124600', 'Київ,Фора-263 Воробйова,11', NULL, -205666.76, 'Orenda');</v>
      </c>
      <c r="L82" t="str">
        <f t="shared" si="5"/>
        <v>insert into business_analytic.report.orenda values(2026, 2, '2021124600', 'Київ,Фора-263 Воробйова,11', NULL, -194786.46, 'Orenda');</v>
      </c>
      <c r="M82" t="str">
        <f t="shared" si="6"/>
        <v>insert into business_analytic.report.orenda values(2026, 3, '2021124600', 'Київ,Фора-263 Воробйова,11', NULL, -272771.64, 'Orenda');</v>
      </c>
      <c r="N82" t="str">
        <f t="shared" si="7"/>
        <v>insert into business_analytic.report.orenda values(2026, 4, '2021124600', 'Київ,Фора-263 Воробйова,11', NULL, -267262.59, 'Orenda');</v>
      </c>
      <c r="O82" t="str">
        <f t="shared" si="7"/>
        <v>insert into business_analytic.report.orenda values(2026, 5, '2021124600', 'Київ,Фора-263 Воробйова,11', NULL, -277805.59, 'Orenda');</v>
      </c>
    </row>
    <row r="83" spans="1:15" x14ac:dyDescent="0.3">
      <c r="A83" t="s">
        <v>174</v>
      </c>
      <c r="B83" t="s">
        <v>485</v>
      </c>
      <c r="C83" t="s">
        <v>770</v>
      </c>
      <c r="D83" s="2">
        <v>-131079.60999999999</v>
      </c>
      <c r="E83" s="2">
        <v>-122504.29999999999</v>
      </c>
      <c r="F83" s="2">
        <v>-122504.29999999999</v>
      </c>
      <c r="G83" s="2">
        <v>-122504.29999999999</v>
      </c>
      <c r="H83" s="2">
        <v>-131079.60999999999</v>
      </c>
      <c r="I83" s="2"/>
      <c r="J83" s="2">
        <v>-629672.11999999988</v>
      </c>
      <c r="K83" t="str">
        <f t="shared" si="5"/>
        <v>insert into business_analytic.report.orenda values(2026, 1, '2021124700', 'Київ,Фора-264 Зодчих,16', NULL, -131079.61, 'Orenda');</v>
      </c>
      <c r="L83" t="str">
        <f t="shared" si="5"/>
        <v>insert into business_analytic.report.orenda values(2026, 2, '2021124700', 'Київ,Фора-264 Зодчих,16', NULL, -122504.3, 'Orenda');</v>
      </c>
      <c r="M83" t="str">
        <f t="shared" si="6"/>
        <v>insert into business_analytic.report.orenda values(2026, 3, '2021124700', 'Київ,Фора-264 Зодчих,16', NULL, -122504.3, 'Orenda');</v>
      </c>
      <c r="N83" t="str">
        <f t="shared" si="7"/>
        <v>insert into business_analytic.report.orenda values(2026, 4, '2021124700', 'Київ,Фора-264 Зодчих,16', NULL, -122504.3, 'Orenda');</v>
      </c>
      <c r="O83" t="str">
        <f t="shared" si="7"/>
        <v>insert into business_analytic.report.orenda values(2026, 5, '2021124700', 'Київ,Фора-264 Зодчих,16', NULL, -131079.61, 'Orenda');</v>
      </c>
    </row>
    <row r="84" spans="1:15" x14ac:dyDescent="0.3">
      <c r="A84" t="s">
        <v>175</v>
      </c>
      <c r="B84" t="s">
        <v>486</v>
      </c>
      <c r="C84" t="s">
        <v>771</v>
      </c>
      <c r="D84" s="2">
        <v>-514170.66</v>
      </c>
      <c r="E84" s="2">
        <v>-514170.66</v>
      </c>
      <c r="F84" s="2">
        <v>-514170.66</v>
      </c>
      <c r="G84" s="2">
        <v>-514170.66</v>
      </c>
      <c r="H84" s="2">
        <v>-514170.66</v>
      </c>
      <c r="I84" s="2"/>
      <c r="J84" s="2">
        <v>-2570853.2999999998</v>
      </c>
      <c r="K84" t="str">
        <f t="shared" si="5"/>
        <v>insert into business_analytic.report.orenda values(2026, 1, '2021124900', 'Київ,Фора-266 Метрологічна,14Б', NULL, -514170.66, 'Orenda');</v>
      </c>
      <c r="L84" t="str">
        <f t="shared" si="5"/>
        <v>insert into business_analytic.report.orenda values(2026, 2, '2021124900', 'Київ,Фора-266 Метрологічна,14Б', NULL, -514170.66, 'Orenda');</v>
      </c>
      <c r="M84" t="str">
        <f t="shared" si="6"/>
        <v>insert into business_analytic.report.orenda values(2026, 3, '2021124900', 'Київ,Фора-266 Метрологічна,14Б', NULL, -514170.66, 'Orenda');</v>
      </c>
      <c r="N84" t="str">
        <f t="shared" si="7"/>
        <v>insert into business_analytic.report.orenda values(2026, 4, '2021124900', 'Київ,Фора-266 Метрологічна,14Б', NULL, -514170.66, 'Orenda');</v>
      </c>
      <c r="O84" t="str">
        <f t="shared" si="7"/>
        <v>insert into business_analytic.report.orenda values(2026, 5, '2021124900', 'Київ,Фора-266 Метрологічна,14Б', NULL, -514170.66, 'Orenda');</v>
      </c>
    </row>
    <row r="85" spans="1:15" x14ac:dyDescent="0.3">
      <c r="A85" t="s">
        <v>16</v>
      </c>
      <c r="B85" t="s">
        <v>487</v>
      </c>
      <c r="C85" t="s">
        <v>772</v>
      </c>
      <c r="D85" s="2">
        <v>-113389.43999999999</v>
      </c>
      <c r="E85" s="2">
        <v>-102856.12</v>
      </c>
      <c r="F85" s="2">
        <v>-119467.42</v>
      </c>
      <c r="G85" s="2">
        <v>-144482.32999999999</v>
      </c>
      <c r="H85" s="2">
        <v>-161357.34</v>
      </c>
      <c r="I85" s="2"/>
      <c r="J85" s="2">
        <v>-641552.64999999991</v>
      </c>
      <c r="K85" t="str">
        <f t="shared" si="5"/>
        <v>insert into business_analytic.report.orenda values(2026, 1, '2021125000', 'Київ,Фора-267 Дніпроводська,7', NULL, -113389.44, 'Orenda');</v>
      </c>
      <c r="L85" t="str">
        <f t="shared" si="5"/>
        <v>insert into business_analytic.report.orenda values(2026, 2, '2021125000', 'Київ,Фора-267 Дніпроводська,7', NULL, -102856.12, 'Orenda');</v>
      </c>
      <c r="M85" t="str">
        <f t="shared" si="6"/>
        <v>insert into business_analytic.report.orenda values(2026, 3, '2021125000', 'Київ,Фора-267 Дніпроводська,7', NULL, -119467.42, 'Orenda');</v>
      </c>
      <c r="N85" t="str">
        <f t="shared" si="7"/>
        <v>insert into business_analytic.report.orenda values(2026, 4, '2021125000', 'Київ,Фора-267 Дніпроводська,7', NULL, -144482.33, 'Orenda');</v>
      </c>
      <c r="O85" t="str">
        <f t="shared" si="7"/>
        <v>insert into business_analytic.report.orenda values(2026, 5, '2021125000', 'Київ,Фора-267 Дніпроводська,7', NULL, -161357.34, 'Orenda');</v>
      </c>
    </row>
    <row r="86" spans="1:15" x14ac:dyDescent="0.3">
      <c r="A86" t="s">
        <v>17</v>
      </c>
      <c r="B86" t="s">
        <v>488</v>
      </c>
      <c r="C86" t="s">
        <v>773</v>
      </c>
      <c r="D86" s="2">
        <v>-416750.42</v>
      </c>
      <c r="E86" s="2">
        <v>-375341.72</v>
      </c>
      <c r="F86" s="2">
        <v>-424727.26</v>
      </c>
      <c r="G86" s="2">
        <v>-412827.38</v>
      </c>
      <c r="H86" s="2">
        <v>-441356.38</v>
      </c>
      <c r="I86" s="2"/>
      <c r="J86" s="2">
        <v>-2071003.1599999997</v>
      </c>
      <c r="K86" t="str">
        <f t="shared" si="5"/>
        <v>insert into business_analytic.report.orenda values(2026, 1, '2021125300', 'Київ,Фора-270 Вереснева,24', NULL, -416750.42, 'Orenda');</v>
      </c>
      <c r="L86" t="str">
        <f t="shared" si="5"/>
        <v>insert into business_analytic.report.orenda values(2026, 2, '2021125300', 'Київ,Фора-270 Вереснева,24', NULL, -375341.72, 'Orenda');</v>
      </c>
      <c r="M86" t="str">
        <f t="shared" si="6"/>
        <v>insert into business_analytic.report.orenda values(2026, 3, '2021125300', 'Київ,Фора-270 Вереснева,24', NULL, -424727.26, 'Orenda');</v>
      </c>
      <c r="N86" t="str">
        <f t="shared" si="7"/>
        <v>insert into business_analytic.report.orenda values(2026, 4, '2021125300', 'Київ,Фора-270 Вереснева,24', NULL, -412827.38, 'Orenda');</v>
      </c>
      <c r="O86" t="str">
        <f t="shared" si="7"/>
        <v>insert into business_analytic.report.orenda values(2026, 5, '2021125300', 'Київ,Фора-270 Вереснева,24', NULL, -441356.38, 'Orenda');</v>
      </c>
    </row>
    <row r="87" spans="1:15" x14ac:dyDescent="0.3">
      <c r="A87" t="s">
        <v>176</v>
      </c>
      <c r="B87" t="s">
        <v>489</v>
      </c>
      <c r="C87" t="s">
        <v>774</v>
      </c>
      <c r="D87" s="2">
        <v>-89589.19</v>
      </c>
      <c r="E87" s="2">
        <v>-89589.19</v>
      </c>
      <c r="F87" s="2">
        <v>-89589.19</v>
      </c>
      <c r="G87" s="2">
        <v>-104068.65</v>
      </c>
      <c r="H87" s="2">
        <v>-104068.65</v>
      </c>
      <c r="I87" s="2"/>
      <c r="J87" s="2">
        <v>-476904.87000000005</v>
      </c>
      <c r="K87" t="str">
        <f t="shared" si="5"/>
        <v>insert into business_analytic.report.orenda values(2026, 1, '2021125700', 'Київ,Фора-275 Броварський,51', NULL, -89589.19, 'Orenda');</v>
      </c>
      <c r="L87" t="str">
        <f t="shared" si="5"/>
        <v>insert into business_analytic.report.orenda values(2026, 2, '2021125700', 'Київ,Фора-275 Броварський,51', NULL, -89589.19, 'Orenda');</v>
      </c>
      <c r="M87" t="str">
        <f t="shared" si="6"/>
        <v>insert into business_analytic.report.orenda values(2026, 3, '2021125700', 'Київ,Фора-275 Броварський,51', NULL, -89589.19, 'Orenda');</v>
      </c>
      <c r="N87" t="str">
        <f t="shared" si="7"/>
        <v>insert into business_analytic.report.orenda values(2026, 4, '2021125700', 'Київ,Фора-275 Броварський,51', NULL, -104068.65, 'Orenda');</v>
      </c>
      <c r="O87" t="str">
        <f t="shared" si="7"/>
        <v>insert into business_analytic.report.orenda values(2026, 5, '2021125700', 'Київ,Фора-275 Броварський,51', NULL, -104068.65, 'Orenda');</v>
      </c>
    </row>
    <row r="88" spans="1:15" x14ac:dyDescent="0.3">
      <c r="A88" t="s">
        <v>177</v>
      </c>
      <c r="B88" t="s">
        <v>679</v>
      </c>
      <c r="C88" t="s">
        <v>775</v>
      </c>
      <c r="D88" s="2">
        <v>-1022825</v>
      </c>
      <c r="E88" s="2">
        <v>-462825</v>
      </c>
      <c r="F88" s="2">
        <v>-473275.88999999996</v>
      </c>
      <c r="G88" s="2">
        <v>-509107.5</v>
      </c>
      <c r="H88" s="2">
        <v>-509107.5</v>
      </c>
      <c r="I88" s="2"/>
      <c r="J88" s="2">
        <v>-2977140.89</v>
      </c>
      <c r="K88" t="str">
        <f t="shared" si="5"/>
        <v>insert into business_analytic.report.orenda values(2026, 1, '2021125800', 'Требухів,Фора-276 Броварська,19А', NULL, -1022825, 'Orenda');</v>
      </c>
      <c r="L88" t="str">
        <f t="shared" si="5"/>
        <v>insert into business_analytic.report.orenda values(2026, 2, '2021125800', 'Требухів,Фора-276 Броварська,19А', NULL, -462825, 'Orenda');</v>
      </c>
      <c r="M88" t="str">
        <f t="shared" si="6"/>
        <v>insert into business_analytic.report.orenda values(2026, 3, '2021125800', 'Требухів,Фора-276 Броварська,19А', NULL, -473275.89, 'Orenda');</v>
      </c>
      <c r="N88" t="str">
        <f t="shared" si="7"/>
        <v>insert into business_analytic.report.orenda values(2026, 4, '2021125800', 'Требухів,Фора-276 Броварська,19А', NULL, -509107.5, 'Orenda');</v>
      </c>
      <c r="O88" t="str">
        <f t="shared" si="7"/>
        <v>insert into business_analytic.report.orenda values(2026, 5, '2021125800', 'Требухів,Фора-276 Броварська,19А', NULL, -509107.5, 'Orenda');</v>
      </c>
    </row>
    <row r="89" spans="1:15" x14ac:dyDescent="0.3">
      <c r="A89" t="s">
        <v>18</v>
      </c>
      <c r="B89" t="s">
        <v>490</v>
      </c>
      <c r="C89" t="s">
        <v>776</v>
      </c>
      <c r="D89" s="2">
        <v>-912826.58</v>
      </c>
      <c r="E89" s="2">
        <v>-400735.62</v>
      </c>
      <c r="F89" s="2">
        <v>-386133.07999999996</v>
      </c>
      <c r="G89" s="2">
        <v>-334636.42</v>
      </c>
      <c r="H89" s="2">
        <v>-388966.76999999996</v>
      </c>
      <c r="I89" s="2"/>
      <c r="J89" s="2">
        <v>-2423298.4699999997</v>
      </c>
      <c r="K89" t="str">
        <f t="shared" si="5"/>
        <v>insert into business_analytic.report.orenda values(2026, 1, '2021125900', 'Київ,Фора-277 Якуба Коласа,25', NULL, -912826.58, 'Orenda');</v>
      </c>
      <c r="L89" t="str">
        <f t="shared" si="5"/>
        <v>insert into business_analytic.report.orenda values(2026, 2, '2021125900', 'Київ,Фора-277 Якуба Коласа,25', NULL, -400735.62, 'Orenda');</v>
      </c>
      <c r="M89" t="str">
        <f t="shared" si="6"/>
        <v>insert into business_analytic.report.orenda values(2026, 3, '2021125900', 'Київ,Фора-277 Якуба Коласа,25', NULL, -386133.08, 'Orenda');</v>
      </c>
      <c r="N89" t="str">
        <f t="shared" si="7"/>
        <v>insert into business_analytic.report.orenda values(2026, 4, '2021125900', 'Київ,Фора-277 Якуба Коласа,25', NULL, -334636.42, 'Orenda');</v>
      </c>
      <c r="O89" t="str">
        <f t="shared" si="7"/>
        <v>insert into business_analytic.report.orenda values(2026, 5, '2021125900', 'Київ,Фора-277 Якуба Коласа,25', NULL, -388966.77, 'Orenda');</v>
      </c>
    </row>
    <row r="90" spans="1:15" x14ac:dyDescent="0.3">
      <c r="A90" t="s">
        <v>19</v>
      </c>
      <c r="B90" t="s">
        <v>491</v>
      </c>
      <c r="C90" t="s">
        <v>777</v>
      </c>
      <c r="D90" s="2">
        <v>-382279.47</v>
      </c>
      <c r="E90" s="2">
        <v>-352620.16</v>
      </c>
      <c r="F90" s="2">
        <v>-407212.89999999997</v>
      </c>
      <c r="G90" s="2">
        <v>-428904.32</v>
      </c>
      <c r="H90" s="2">
        <v>-473997.63</v>
      </c>
      <c r="I90" s="2"/>
      <c r="J90" s="2">
        <v>-2045014.48</v>
      </c>
      <c r="K90" t="str">
        <f t="shared" si="5"/>
        <v>insert into business_analytic.report.orenda values(2026, 1, '2021126200', 'Гоголів,Фора-280 Київська,167Г', NULL, -382279.47, 'Orenda');</v>
      </c>
      <c r="L90" t="str">
        <f t="shared" si="5"/>
        <v>insert into business_analytic.report.orenda values(2026, 2, '2021126200', 'Гоголів,Фора-280 Київська,167Г', NULL, -352620.16, 'Orenda');</v>
      </c>
      <c r="M90" t="str">
        <f t="shared" si="6"/>
        <v>insert into business_analytic.report.orenda values(2026, 3, '2021126200', 'Гоголів,Фора-280 Київська,167Г', NULL, -407212.9, 'Orenda');</v>
      </c>
      <c r="N90" t="str">
        <f t="shared" si="7"/>
        <v>insert into business_analytic.report.orenda values(2026, 4, '2021126200', 'Гоголів,Фора-280 Київська,167Г', NULL, -428904.32, 'Orenda');</v>
      </c>
      <c r="O90" t="str">
        <f t="shared" si="7"/>
        <v>insert into business_analytic.report.orenda values(2026, 5, '2021126200', 'Гоголів,Фора-280 Київська,167Г', NULL, -473997.63, 'Orenda');</v>
      </c>
    </row>
    <row r="91" spans="1:15" x14ac:dyDescent="0.3">
      <c r="A91" t="s">
        <v>20</v>
      </c>
      <c r="B91" t="s">
        <v>492</v>
      </c>
      <c r="C91" t="s">
        <v>778</v>
      </c>
      <c r="D91" s="2">
        <v>-483262.66</v>
      </c>
      <c r="E91" s="2">
        <v>-464882.88999999996</v>
      </c>
      <c r="F91" s="2">
        <v>-526075.12</v>
      </c>
      <c r="G91" s="2">
        <v>-515661.6</v>
      </c>
      <c r="H91" s="2">
        <v>-527137.97</v>
      </c>
      <c r="I91" s="2"/>
      <c r="J91" s="2">
        <v>-2517020.2399999998</v>
      </c>
      <c r="K91" t="str">
        <f t="shared" si="5"/>
        <v>insert into business_analytic.report.orenda values(2026, 1, '2021126300', 'Київ,Фора-281 Кирилівська,122/1', NULL, -483262.66, 'Orenda');</v>
      </c>
      <c r="L91" t="str">
        <f t="shared" si="5"/>
        <v>insert into business_analytic.report.orenda values(2026, 2, '2021126300', 'Київ,Фора-281 Кирилівська,122/1', NULL, -464882.89, 'Orenda');</v>
      </c>
      <c r="M91" t="str">
        <f t="shared" si="6"/>
        <v>insert into business_analytic.report.orenda values(2026, 3, '2021126300', 'Київ,Фора-281 Кирилівська,122/1', NULL, -526075.12, 'Orenda');</v>
      </c>
      <c r="N91" t="str">
        <f t="shared" si="7"/>
        <v>insert into business_analytic.report.orenda values(2026, 4, '2021126300', 'Київ,Фора-281 Кирилівська,122/1', NULL, -515661.6, 'Orenda');</v>
      </c>
      <c r="O91" t="str">
        <f t="shared" si="7"/>
        <v>insert into business_analytic.report.orenda values(2026, 5, '2021126300', 'Київ,Фора-281 Кирилівська,122/1', NULL, -527137.97, 'Orenda');</v>
      </c>
    </row>
    <row r="92" spans="1:15" x14ac:dyDescent="0.3">
      <c r="A92" t="s">
        <v>178</v>
      </c>
      <c r="B92" t="s">
        <v>493</v>
      </c>
      <c r="C92" t="s">
        <v>779</v>
      </c>
      <c r="D92" s="2">
        <v>-320000</v>
      </c>
      <c r="E92" s="2">
        <v>-320000</v>
      </c>
      <c r="F92" s="2">
        <v>-320000</v>
      </c>
      <c r="G92" s="2">
        <v>-320000</v>
      </c>
      <c r="H92" s="2">
        <v>-320000</v>
      </c>
      <c r="I92" s="2"/>
      <c r="J92" s="2">
        <v>-1600000</v>
      </c>
      <c r="K92" t="str">
        <f t="shared" si="5"/>
        <v>insert into business_analytic.report.orenda values(2026, 1, '2021126400', 'Київ,Фора-282 Ентузіастів,7', NULL, -320000, 'Orenda');</v>
      </c>
      <c r="L92" t="str">
        <f t="shared" si="5"/>
        <v>insert into business_analytic.report.orenda values(2026, 2, '2021126400', 'Київ,Фора-282 Ентузіастів,7', NULL, -320000, 'Orenda');</v>
      </c>
      <c r="M92" t="str">
        <f t="shared" si="6"/>
        <v>insert into business_analytic.report.orenda values(2026, 3, '2021126400', 'Київ,Фора-282 Ентузіастів,7', NULL, -320000, 'Orenda');</v>
      </c>
      <c r="N92" t="str">
        <f t="shared" si="7"/>
        <v>insert into business_analytic.report.orenda values(2026, 4, '2021126400', 'Київ,Фора-282 Ентузіастів,7', NULL, -320000, 'Orenda');</v>
      </c>
      <c r="O92" t="str">
        <f t="shared" si="7"/>
        <v>insert into business_analytic.report.orenda values(2026, 5, '2021126400', 'Київ,Фора-282 Ентузіастів,7', NULL, -320000, 'Orenda');</v>
      </c>
    </row>
    <row r="93" spans="1:15" x14ac:dyDescent="0.3">
      <c r="A93" t="s">
        <v>21</v>
      </c>
      <c r="B93" t="s">
        <v>494</v>
      </c>
      <c r="C93" t="s">
        <v>780</v>
      </c>
      <c r="D93" s="2">
        <v>-149124.93</v>
      </c>
      <c r="E93" s="2">
        <v>-253946.97</v>
      </c>
      <c r="F93" s="2">
        <v>-237065.75999999998</v>
      </c>
      <c r="G93" s="2">
        <v>-243387.44</v>
      </c>
      <c r="H93" s="2">
        <v>-304158.64</v>
      </c>
      <c r="I93" s="2"/>
      <c r="J93" s="2">
        <v>-1187683.74</v>
      </c>
      <c r="K93" t="str">
        <f t="shared" si="5"/>
        <v>insert into business_analytic.report.orenda values(2026, 1, '2021126500', 'Буча,Фора-283 Склозаводська,10Б', NULL, -149124.93, 'Orenda');</v>
      </c>
      <c r="L93" t="str">
        <f t="shared" si="5"/>
        <v>insert into business_analytic.report.orenda values(2026, 2, '2021126500', 'Буча,Фора-283 Склозаводська,10Б', NULL, -253946.97, 'Orenda');</v>
      </c>
      <c r="M93" t="str">
        <f t="shared" si="6"/>
        <v>insert into business_analytic.report.orenda values(2026, 3, '2021126500', 'Буча,Фора-283 Склозаводська,10Б', NULL, -237065.76, 'Orenda');</v>
      </c>
      <c r="N93" t="str">
        <f t="shared" si="7"/>
        <v>insert into business_analytic.report.orenda values(2026, 4, '2021126500', 'Буча,Фора-283 Склозаводська,10Б', NULL, -243387.44, 'Orenda');</v>
      </c>
      <c r="O93" t="str">
        <f t="shared" si="7"/>
        <v>insert into business_analytic.report.orenda values(2026, 5, '2021126500', 'Буча,Фора-283 Склозаводська,10Б', NULL, -304158.64, 'Orenda');</v>
      </c>
    </row>
    <row r="94" spans="1:15" x14ac:dyDescent="0.3">
      <c r="A94" t="s">
        <v>179</v>
      </c>
      <c r="B94" t="s">
        <v>676</v>
      </c>
      <c r="C94" t="s">
        <v>781</v>
      </c>
      <c r="D94" s="2">
        <v>-540233.32999999996</v>
      </c>
      <c r="E94" s="2">
        <v>-605673.32999999996</v>
      </c>
      <c r="F94" s="2">
        <v>-605673.32999999996</v>
      </c>
      <c r="G94" s="2">
        <v>-605673.32999999996</v>
      </c>
      <c r="H94" s="2">
        <v>-605673.32999999996</v>
      </c>
      <c r="I94" s="2"/>
      <c r="J94" s="2">
        <v>-2962926.65</v>
      </c>
      <c r="K94" t="str">
        <f t="shared" si="5"/>
        <v>insert into business_analytic.report.orenda values(2026, 1, '2021126600', 'Київ,Фора-284 Деревлянська,14', NULL, -540233.33, 'Orenda');</v>
      </c>
      <c r="L94" t="str">
        <f t="shared" si="5"/>
        <v>insert into business_analytic.report.orenda values(2026, 2, '2021126600', 'Київ,Фора-284 Деревлянська,14', NULL, -605673.33, 'Orenda');</v>
      </c>
      <c r="M94" t="str">
        <f t="shared" si="6"/>
        <v>insert into business_analytic.report.orenda values(2026, 3, '2021126600', 'Київ,Фора-284 Деревлянська,14', NULL, -605673.33, 'Orenda');</v>
      </c>
      <c r="N94" t="str">
        <f t="shared" si="7"/>
        <v>insert into business_analytic.report.orenda values(2026, 4, '2021126600', 'Київ,Фора-284 Деревлянська,14', NULL, -605673.33, 'Orenda');</v>
      </c>
      <c r="O94" t="str">
        <f t="shared" si="7"/>
        <v>insert into business_analytic.report.orenda values(2026, 5, '2021126600', 'Київ,Фора-284 Деревлянська,14', NULL, -605673.33, 'Orenda');</v>
      </c>
    </row>
    <row r="95" spans="1:15" x14ac:dyDescent="0.3">
      <c r="A95" t="s">
        <v>180</v>
      </c>
      <c r="B95" t="s">
        <v>495</v>
      </c>
      <c r="C95" t="s">
        <v>782</v>
      </c>
      <c r="D95" s="2">
        <v>-321625</v>
      </c>
      <c r="E95" s="2">
        <v>-331625</v>
      </c>
      <c r="F95" s="2">
        <v>-337000</v>
      </c>
      <c r="G95" s="2">
        <v>-332000</v>
      </c>
      <c r="H95" s="2">
        <v>-342000</v>
      </c>
      <c r="I95" s="2"/>
      <c r="J95" s="2">
        <v>-1664250</v>
      </c>
      <c r="K95" t="str">
        <f t="shared" si="5"/>
        <v>insert into business_analytic.report.orenda values(2026, 1, '2021126700', 'Київ,Фора-285 Єфремова,8А', NULL, -321625, 'Orenda');</v>
      </c>
      <c r="L95" t="str">
        <f t="shared" si="5"/>
        <v>insert into business_analytic.report.orenda values(2026, 2, '2021126700', 'Київ,Фора-285 Єфремова,8А', NULL, -331625, 'Orenda');</v>
      </c>
      <c r="M95" t="str">
        <f t="shared" si="6"/>
        <v>insert into business_analytic.report.orenda values(2026, 3, '2021126700', 'Київ,Фора-285 Єфремова,8А', NULL, -337000, 'Orenda');</v>
      </c>
      <c r="N95" t="str">
        <f t="shared" si="7"/>
        <v>insert into business_analytic.report.orenda values(2026, 4, '2021126700', 'Київ,Фора-285 Єфремова,8А', NULL, -332000, 'Orenda');</v>
      </c>
      <c r="O95" t="str">
        <f t="shared" si="7"/>
        <v>insert into business_analytic.report.orenda values(2026, 5, '2021126700', 'Київ,Фора-285 Єфремова,8А', NULL, -342000, 'Orenda');</v>
      </c>
    </row>
    <row r="96" spans="1:15" x14ac:dyDescent="0.3">
      <c r="A96" t="s">
        <v>181</v>
      </c>
      <c r="B96" t="s">
        <v>496</v>
      </c>
      <c r="C96" t="s">
        <v>783</v>
      </c>
      <c r="D96" s="2">
        <v>-322826.49</v>
      </c>
      <c r="E96" s="2">
        <v>-321453.71999999997</v>
      </c>
      <c r="F96" s="2">
        <v>-316967.49</v>
      </c>
      <c r="G96" s="2">
        <v>-324955.89</v>
      </c>
      <c r="H96" s="2">
        <v>-325172.61</v>
      </c>
      <c r="I96" s="2"/>
      <c r="J96" s="2">
        <v>-1611376.2</v>
      </c>
      <c r="K96" t="str">
        <f t="shared" si="5"/>
        <v>insert into business_analytic.report.orenda values(2026, 1, '2021126800', 'Київ,Фора-286 Бучми,6А', NULL, -322826.49, 'Orenda');</v>
      </c>
      <c r="L96" t="str">
        <f t="shared" si="5"/>
        <v>insert into business_analytic.report.orenda values(2026, 2, '2021126800', 'Київ,Фора-286 Бучми,6А', NULL, -321453.72, 'Orenda');</v>
      </c>
      <c r="M96" t="str">
        <f t="shared" si="6"/>
        <v>insert into business_analytic.report.orenda values(2026, 3, '2021126800', 'Київ,Фора-286 Бучми,6А', NULL, -316967.49, 'Orenda');</v>
      </c>
      <c r="N96" t="str">
        <f t="shared" si="7"/>
        <v>insert into business_analytic.report.orenda values(2026, 4, '2021126800', 'Київ,Фора-286 Бучми,6А', NULL, -324955.89, 'Orenda');</v>
      </c>
      <c r="O96" t="str">
        <f t="shared" si="7"/>
        <v>insert into business_analytic.report.orenda values(2026, 5, '2021126800', 'Київ,Фора-286 Бучми,6А', NULL, -325172.61, 'Orenda');</v>
      </c>
    </row>
    <row r="97" spans="1:15" x14ac:dyDescent="0.3">
      <c r="A97" t="s">
        <v>182</v>
      </c>
      <c r="B97" t="s">
        <v>655</v>
      </c>
      <c r="C97" t="s">
        <v>780</v>
      </c>
      <c r="D97" s="2">
        <v>-351366.07</v>
      </c>
      <c r="E97" s="2">
        <v>-351366.07</v>
      </c>
      <c r="F97" s="2">
        <v>-351366.07</v>
      </c>
      <c r="G97" s="2">
        <v>-351366.07</v>
      </c>
      <c r="H97" s="2">
        <v>-351366.07</v>
      </c>
      <c r="I97" s="2"/>
      <c r="J97" s="2">
        <v>-1756830.35</v>
      </c>
      <c r="K97" t="str">
        <f t="shared" si="5"/>
        <v>insert into business_analytic.report.orenda values(2026, 1, '2021127000', 'Київ,Фора-288 Лук'янівська,1', NULL, -351366.07, 'Orenda');</v>
      </c>
      <c r="L97" t="str">
        <f t="shared" si="5"/>
        <v>insert into business_analytic.report.orenda values(2026, 2, '2021127000', 'Київ,Фора-288 Лук'янівська,1', NULL, -351366.07, 'Orenda');</v>
      </c>
      <c r="M97" t="str">
        <f t="shared" si="6"/>
        <v>insert into business_analytic.report.orenda values(2026, 3, '2021127000', 'Київ,Фора-288 Лук'янівська,1', NULL, -351366.07, 'Orenda');</v>
      </c>
      <c r="N97" t="str">
        <f t="shared" si="7"/>
        <v>insert into business_analytic.report.orenda values(2026, 4, '2021127000', 'Київ,Фора-288 Лук'янівська,1', NULL, -351366.07, 'Orenda');</v>
      </c>
      <c r="O97" t="str">
        <f t="shared" si="7"/>
        <v>insert into business_analytic.report.orenda values(2026, 5, '2021127000', 'Київ,Фора-288 Лук'янівська,1', NULL, -351366.07, 'Orenda');</v>
      </c>
    </row>
    <row r="98" spans="1:15" x14ac:dyDescent="0.3">
      <c r="A98" t="s">
        <v>22</v>
      </c>
      <c r="B98" t="s">
        <v>685</v>
      </c>
      <c r="C98" t="s">
        <v>784</v>
      </c>
      <c r="D98" s="2">
        <v>-629463.14</v>
      </c>
      <c r="E98" s="2">
        <v>-603773.29999999993</v>
      </c>
      <c r="F98" s="2">
        <v>-650038.05999999994</v>
      </c>
      <c r="G98" s="2">
        <v>-638770.5</v>
      </c>
      <c r="H98" s="2">
        <v>-669202.05999999994</v>
      </c>
      <c r="I98" s="2"/>
      <c r="J98" s="2">
        <v>-3191247.06</v>
      </c>
      <c r="K98" t="str">
        <f t="shared" si="5"/>
        <v>insert into business_analytic.report.orenda values(2026, 1, '2021127100', 'Бровари,Фора-289 Незалежності,7', NULL, -629463.14, 'Orenda');</v>
      </c>
      <c r="L98" t="str">
        <f t="shared" si="5"/>
        <v>insert into business_analytic.report.orenda values(2026, 2, '2021127100', 'Бровари,Фора-289 Незалежності,7', NULL, -603773.3, 'Orenda');</v>
      </c>
      <c r="M98" t="str">
        <f t="shared" si="6"/>
        <v>insert into business_analytic.report.orenda values(2026, 3, '2021127100', 'Бровари,Фора-289 Незалежності,7', NULL, -650038.06, 'Orenda');</v>
      </c>
      <c r="N98" t="str">
        <f t="shared" si="7"/>
        <v>insert into business_analytic.report.orenda values(2026, 4, '2021127100', 'Бровари,Фора-289 Незалежності,7', NULL, -638770.5, 'Orenda');</v>
      </c>
      <c r="O98" t="str">
        <f t="shared" si="7"/>
        <v>insert into business_analytic.report.orenda values(2026, 5, '2021127100', 'Бровари,Фора-289 Незалежності,7', NULL, -669202.06, 'Orenda');</v>
      </c>
    </row>
    <row r="99" spans="1:15" x14ac:dyDescent="0.3">
      <c r="A99" t="s">
        <v>23</v>
      </c>
      <c r="B99" t="s">
        <v>653</v>
      </c>
      <c r="C99" t="s">
        <v>785</v>
      </c>
      <c r="D99" s="2">
        <v>-579895.11</v>
      </c>
      <c r="E99" s="2">
        <v>-597187.46</v>
      </c>
      <c r="F99" s="2">
        <v>-627988.61</v>
      </c>
      <c r="G99" s="2">
        <v>-610307.03</v>
      </c>
      <c r="H99" s="2">
        <v>-689434.83</v>
      </c>
      <c r="I99" s="2"/>
      <c r="J99" s="2">
        <v>-3104813.04</v>
      </c>
      <c r="K99" t="str">
        <f t="shared" si="5"/>
        <v>insert into business_analytic.report.orenda values(2026, 1, '2021127200', 'НовПетрівці,Фора-290 СвПокровськ,222,224', NULL, -579895.11, 'Orenda');</v>
      </c>
      <c r="L99" t="str">
        <f t="shared" si="5"/>
        <v>insert into business_analytic.report.orenda values(2026, 2, '2021127200', 'НовПетрівці,Фора-290 СвПокровськ,222,224', NULL, -597187.46, 'Orenda');</v>
      </c>
      <c r="M99" t="str">
        <f t="shared" si="6"/>
        <v>insert into business_analytic.report.orenda values(2026, 3, '2021127200', 'НовПетрівці,Фора-290 СвПокровськ,222,224', NULL, -627988.61, 'Orenda');</v>
      </c>
      <c r="N99" t="str">
        <f t="shared" si="7"/>
        <v>insert into business_analytic.report.orenda values(2026, 4, '2021127200', 'НовПетрівці,Фора-290 СвПокровськ,222,224', NULL, -610307.03, 'Orenda');</v>
      </c>
      <c r="O99" t="str">
        <f t="shared" si="7"/>
        <v>insert into business_analytic.report.orenda values(2026, 5, '2021127200', 'НовПетрівці,Фора-290 СвПокровськ,222,224', NULL, -689434.83, 'Orenda');</v>
      </c>
    </row>
    <row r="100" spans="1:15" x14ac:dyDescent="0.3">
      <c r="A100" t="s">
        <v>24</v>
      </c>
      <c r="B100" t="s">
        <v>659</v>
      </c>
      <c r="C100" t="s">
        <v>786</v>
      </c>
      <c r="D100" s="2">
        <v>-1236550.0899999999</v>
      </c>
      <c r="E100" s="2">
        <v>-705197.55999999994</v>
      </c>
      <c r="F100" s="2">
        <v>-787746.27999999991</v>
      </c>
      <c r="G100" s="2">
        <v>-751653.11</v>
      </c>
      <c r="H100" s="2">
        <v>-772567.87</v>
      </c>
      <c r="I100" s="2"/>
      <c r="J100" s="2">
        <v>-4253714.91</v>
      </c>
      <c r="K100" t="str">
        <f t="shared" si="5"/>
        <v>insert into business_analytic.report.orenda values(2026, 1, '2021127400', 'Київ,Фора-292 Гузара,28', NULL, -1236550.09, 'Orenda');</v>
      </c>
      <c r="L100" t="str">
        <f t="shared" si="5"/>
        <v>insert into business_analytic.report.orenda values(2026, 2, '2021127400', 'Київ,Фора-292 Гузара,28', NULL, -705197.56, 'Orenda');</v>
      </c>
      <c r="M100" t="str">
        <f t="shared" si="6"/>
        <v>insert into business_analytic.report.orenda values(2026, 3, '2021127400', 'Київ,Фора-292 Гузара,28', NULL, -787746.28, 'Orenda');</v>
      </c>
      <c r="N100" t="str">
        <f t="shared" si="7"/>
        <v>insert into business_analytic.report.orenda values(2026, 4, '2021127400', 'Київ,Фора-292 Гузара,28', NULL, -751653.11, 'Orenda');</v>
      </c>
      <c r="O100" t="str">
        <f t="shared" si="7"/>
        <v>insert into business_analytic.report.orenda values(2026, 5, '2021127400', 'Київ,Фора-292 Гузара,28', NULL, -772567.87, 'Orenda');</v>
      </c>
    </row>
    <row r="101" spans="1:15" x14ac:dyDescent="0.3">
      <c r="A101" t="s">
        <v>25</v>
      </c>
      <c r="B101" t="s">
        <v>497</v>
      </c>
      <c r="C101" t="s">
        <v>785</v>
      </c>
      <c r="D101" s="2">
        <v>-694719.41999999993</v>
      </c>
      <c r="E101" s="2">
        <v>-642593.92999999993</v>
      </c>
      <c r="F101" s="2">
        <v>-716487.94</v>
      </c>
      <c r="G101" s="2">
        <v>-714060.02999999991</v>
      </c>
      <c r="H101" s="2">
        <v>-797093.47</v>
      </c>
      <c r="I101" s="2"/>
      <c r="J101" s="2">
        <v>-3564954.7899999996</v>
      </c>
      <c r="K101" t="str">
        <f t="shared" si="5"/>
        <v>insert into business_analytic.report.orenda values(2026, 1, '2021127600', 'Гора,Фора-293 Калинова,2', NULL, -694719.42, 'Orenda');</v>
      </c>
      <c r="L101" t="str">
        <f t="shared" si="5"/>
        <v>insert into business_analytic.report.orenda values(2026, 2, '2021127600', 'Гора,Фора-293 Калинова,2', NULL, -642593.93, 'Orenda');</v>
      </c>
      <c r="M101" t="str">
        <f t="shared" si="6"/>
        <v>insert into business_analytic.report.orenda values(2026, 3, '2021127600', 'Гора,Фора-293 Калинова,2', NULL, -716487.94, 'Orenda');</v>
      </c>
      <c r="N101" t="str">
        <f t="shared" si="7"/>
        <v>insert into business_analytic.report.orenda values(2026, 4, '2021127600', 'Гора,Фора-293 Калинова,2', NULL, -714060.03, 'Orenda');</v>
      </c>
      <c r="O101" t="str">
        <f t="shared" si="7"/>
        <v>insert into business_analytic.report.orenda values(2026, 5, '2021127600', 'Гора,Фора-293 Калинова,2', NULL, -797093.47, 'Orenda');</v>
      </c>
    </row>
    <row r="102" spans="1:15" x14ac:dyDescent="0.3">
      <c r="A102" t="s">
        <v>26</v>
      </c>
      <c r="B102" t="s">
        <v>664</v>
      </c>
      <c r="C102" t="s">
        <v>788</v>
      </c>
      <c r="D102" s="2">
        <v>-491455.94999999995</v>
      </c>
      <c r="E102" s="2">
        <v>-502002.97</v>
      </c>
      <c r="F102" s="2">
        <v>-741481.4</v>
      </c>
      <c r="G102" s="2">
        <v>-537584.68999999994</v>
      </c>
      <c r="H102" s="2">
        <v>-725267.7</v>
      </c>
      <c r="I102" s="2"/>
      <c r="J102" s="2">
        <v>-2997792.71</v>
      </c>
      <c r="K102" t="str">
        <f t="shared" si="5"/>
        <v>insert into business_analytic.report.orenda values(2026, 1, '2021128200', 'Зазим'я,Фора-300 Лісова,55', NULL, -491455.95, 'Orenda');</v>
      </c>
      <c r="L102" t="str">
        <f t="shared" si="5"/>
        <v>insert into business_analytic.report.orenda values(2026, 2, '2021128200', 'Зазим'я,Фора-300 Лісова,55', NULL, -502002.97, 'Orenda');</v>
      </c>
      <c r="M102" t="str">
        <f t="shared" si="6"/>
        <v>insert into business_analytic.report.orenda values(2026, 3, '2021128200', 'Зазим'я,Фора-300 Лісова,55', NULL, -741481.4, 'Orenda');</v>
      </c>
      <c r="N102" t="str">
        <f t="shared" si="7"/>
        <v>insert into business_analytic.report.orenda values(2026, 4, '2021128200', 'Зазим'я,Фора-300 Лісова,55', NULL, -537584.69, 'Orenda');</v>
      </c>
      <c r="O102" t="str">
        <f t="shared" si="7"/>
        <v>insert into business_analytic.report.orenda values(2026, 5, '2021128200', 'Зазим'я,Фора-300 Лісова,55', NULL, -725267.7, 'Orenda');</v>
      </c>
    </row>
    <row r="103" spans="1:15" x14ac:dyDescent="0.3">
      <c r="A103" t="s">
        <v>27</v>
      </c>
      <c r="B103" t="s">
        <v>499</v>
      </c>
      <c r="C103" t="s">
        <v>789</v>
      </c>
      <c r="D103" s="2">
        <v>-256519.56999999998</v>
      </c>
      <c r="E103" s="2">
        <v>-217259.78999999998</v>
      </c>
      <c r="F103" s="2">
        <v>-263016.36</v>
      </c>
      <c r="G103" s="2">
        <v>-281763.39</v>
      </c>
      <c r="H103" s="2">
        <v>-340494.64999999997</v>
      </c>
      <c r="I103" s="2"/>
      <c r="J103" s="2">
        <v>-1359053.76</v>
      </c>
      <c r="K103" t="str">
        <f t="shared" si="5"/>
        <v>insert into business_analytic.report.orenda values(2026, 1, '2021128300', 'Ставище,Фора-303 Паркова,4', NULL, -256519.57, 'Orenda');</v>
      </c>
      <c r="L103" t="str">
        <f t="shared" si="5"/>
        <v>insert into business_analytic.report.orenda values(2026, 2, '2021128300', 'Ставище,Фора-303 Паркова,4', NULL, -217259.79, 'Orenda');</v>
      </c>
      <c r="M103" t="str">
        <f t="shared" si="6"/>
        <v>insert into business_analytic.report.orenda values(2026, 3, '2021128300', 'Ставище,Фора-303 Паркова,4', NULL, -263016.36, 'Orenda');</v>
      </c>
      <c r="N103" t="str">
        <f t="shared" si="7"/>
        <v>insert into business_analytic.report.orenda values(2026, 4, '2021128300', 'Ставище,Фора-303 Паркова,4', NULL, -281763.39, 'Orenda');</v>
      </c>
      <c r="O103" t="str">
        <f t="shared" si="7"/>
        <v>insert into business_analytic.report.orenda values(2026, 5, '2021128300', 'Ставище,Фора-303 Паркова,4', NULL, -340494.65, 'Orenda');</v>
      </c>
    </row>
    <row r="104" spans="1:15" x14ac:dyDescent="0.3">
      <c r="A104" t="s">
        <v>184</v>
      </c>
      <c r="B104" t="s">
        <v>500</v>
      </c>
      <c r="C104" t="s">
        <v>790</v>
      </c>
      <c r="D104" s="2">
        <v>-61400</v>
      </c>
      <c r="E104" s="2">
        <v>-71400</v>
      </c>
      <c r="F104" s="2">
        <v>-71400</v>
      </c>
      <c r="G104" s="2">
        <v>-71400</v>
      </c>
      <c r="H104" s="2">
        <v>-71400</v>
      </c>
      <c r="I104" s="2"/>
      <c r="J104" s="2">
        <v>-347000</v>
      </c>
      <c r="K104" t="str">
        <f t="shared" si="5"/>
        <v>insert into business_analytic.report.orenda values(2026, 1, '2021128400', 'Київ,Фора-304 Заболотного,128А', NULL, -61400, 'Orenda');</v>
      </c>
      <c r="L104" t="str">
        <f t="shared" si="5"/>
        <v>insert into business_analytic.report.orenda values(2026, 2, '2021128400', 'Київ,Фора-304 Заболотного,128А', NULL, -71400, 'Orenda');</v>
      </c>
      <c r="M104" t="str">
        <f t="shared" si="6"/>
        <v>insert into business_analytic.report.orenda values(2026, 3, '2021128400', 'Київ,Фора-304 Заболотного,128А', NULL, -71400, 'Orenda');</v>
      </c>
      <c r="N104" t="str">
        <f t="shared" si="7"/>
        <v>insert into business_analytic.report.orenda values(2026, 4, '2021128400', 'Київ,Фора-304 Заболотного,128А', NULL, -71400, 'Orenda');</v>
      </c>
      <c r="O104" t="str">
        <f t="shared" si="7"/>
        <v>insert into business_analytic.report.orenda values(2026, 5, '2021128400', 'Київ,Фора-304 Заболотного,128А', NULL, -71400, 'Orenda');</v>
      </c>
    </row>
    <row r="105" spans="1:15" x14ac:dyDescent="0.3">
      <c r="A105" t="s">
        <v>28</v>
      </c>
      <c r="B105" t="s">
        <v>501</v>
      </c>
      <c r="C105" t="s">
        <v>791</v>
      </c>
      <c r="D105" s="2">
        <v>-924928.08</v>
      </c>
      <c r="E105" s="2">
        <v>-862932.15999999992</v>
      </c>
      <c r="F105" s="2">
        <v>-989720.8899999999</v>
      </c>
      <c r="G105" s="2">
        <v>-962892.22</v>
      </c>
      <c r="H105" s="2">
        <v>-1028828.0599999999</v>
      </c>
      <c r="I105" s="2">
        <v>-652514.22</v>
      </c>
      <c r="J105" s="2">
        <v>-5421815.6299999999</v>
      </c>
      <c r="K105" t="str">
        <f t="shared" si="5"/>
        <v>insert into business_analytic.report.orenda values(2026, 1, '2021128500', 'Ірпінь,Фора-305 Центральна,29', NULL, -924928.08, 'Orenda');</v>
      </c>
      <c r="L105" t="str">
        <f t="shared" si="5"/>
        <v>insert into business_analytic.report.orenda values(2026, 2, '2021128500', 'Ірпінь,Фора-305 Центральна,29', NULL, -862932.16, 'Orenda');</v>
      </c>
      <c r="M105" t="str">
        <f t="shared" si="6"/>
        <v>insert into business_analytic.report.orenda values(2026, 3, '2021128500', 'Ірпінь,Фора-305 Центральна,29', NULL, -989720.89, 'Orenda');</v>
      </c>
      <c r="N105" t="str">
        <f t="shared" si="7"/>
        <v>insert into business_analytic.report.orenda values(2026, 4, '2021128500', 'Ірпінь,Фора-305 Центральна,29', NULL, -962892.22, 'Orenda');</v>
      </c>
      <c r="O105" t="str">
        <f t="shared" si="7"/>
        <v>insert into business_analytic.report.orenda values(2026, 5, '2021128500', 'Ірпінь,Фора-305 Центральна,29', NULL, -1028828.06, 'Orenda');</v>
      </c>
    </row>
    <row r="106" spans="1:15" x14ac:dyDescent="0.3">
      <c r="A106" t="s">
        <v>29</v>
      </c>
      <c r="B106" t="s">
        <v>502</v>
      </c>
      <c r="C106" t="s">
        <v>792</v>
      </c>
      <c r="D106" s="2">
        <v>-775000</v>
      </c>
      <c r="E106" s="2">
        <v>-775000</v>
      </c>
      <c r="F106" s="2">
        <v>-775000</v>
      </c>
      <c r="G106" s="2">
        <v>-775000</v>
      </c>
      <c r="H106" s="2">
        <v>-775000</v>
      </c>
      <c r="I106" s="2"/>
      <c r="J106" s="2">
        <v>-3875000</v>
      </c>
      <c r="K106" t="str">
        <f t="shared" si="5"/>
        <v>insert into business_analytic.report.orenda values(2026, 1, '2021128600', 'Київ,Фора-306 Тичини,15А', NULL, -775000, 'Orenda');</v>
      </c>
      <c r="L106" t="str">
        <f t="shared" si="5"/>
        <v>insert into business_analytic.report.orenda values(2026, 2, '2021128600', 'Київ,Фора-306 Тичини,15А', NULL, -775000, 'Orenda');</v>
      </c>
      <c r="M106" t="str">
        <f t="shared" si="6"/>
        <v>insert into business_analytic.report.orenda values(2026, 3, '2021128600', 'Київ,Фора-306 Тичини,15А', NULL, -775000, 'Orenda');</v>
      </c>
      <c r="N106" t="str">
        <f t="shared" si="7"/>
        <v>insert into business_analytic.report.orenda values(2026, 4, '2021128600', 'Київ,Фора-306 Тичини,15А', NULL, -775000, 'Orenda');</v>
      </c>
      <c r="O106" t="str">
        <f t="shared" si="7"/>
        <v>insert into business_analytic.report.orenda values(2026, 5, '2021128600', 'Київ,Фора-306 Тичини,15А', NULL, -775000, 'Orenda');</v>
      </c>
    </row>
    <row r="107" spans="1:15" x14ac:dyDescent="0.3">
      <c r="A107" t="s">
        <v>185</v>
      </c>
      <c r="B107" t="s">
        <v>503</v>
      </c>
      <c r="C107" t="s">
        <v>793</v>
      </c>
      <c r="D107" s="2">
        <v>-461286</v>
      </c>
      <c r="E107" s="2">
        <v>-422213.32999999996</v>
      </c>
      <c r="F107" s="2">
        <v>-422213.32999999996</v>
      </c>
      <c r="G107" s="2">
        <v>-457211.6</v>
      </c>
      <c r="H107" s="2">
        <v>-461286</v>
      </c>
      <c r="I107" s="2"/>
      <c r="J107" s="2">
        <v>-2224210.2599999998</v>
      </c>
      <c r="K107" t="str">
        <f t="shared" si="5"/>
        <v>insert into business_analytic.report.orenda values(2026, 1, '2021128800', 'Київ,Фора-308 Пулюя,5', NULL, -461286, 'Orenda');</v>
      </c>
      <c r="L107" t="str">
        <f t="shared" si="5"/>
        <v>insert into business_analytic.report.orenda values(2026, 2, '2021128800', 'Київ,Фора-308 Пулюя,5', NULL, -422213.33, 'Orenda');</v>
      </c>
      <c r="M107" t="str">
        <f t="shared" si="6"/>
        <v>insert into business_analytic.report.orenda values(2026, 3, '2021128800', 'Київ,Фора-308 Пулюя,5', NULL, -422213.33, 'Orenda');</v>
      </c>
      <c r="N107" t="str">
        <f t="shared" si="7"/>
        <v>insert into business_analytic.report.orenda values(2026, 4, '2021128800', 'Київ,Фора-308 Пулюя,5', NULL, -457211.6, 'Orenda');</v>
      </c>
      <c r="O107" t="str">
        <f t="shared" si="7"/>
        <v>insert into business_analytic.report.orenda values(2026, 5, '2021128800', 'Київ,Фора-308 Пулюя,5', NULL, -461286, 'Orenda');</v>
      </c>
    </row>
    <row r="108" spans="1:15" x14ac:dyDescent="0.3">
      <c r="A108" t="s">
        <v>30</v>
      </c>
      <c r="B108" t="s">
        <v>504</v>
      </c>
      <c r="C108" t="s">
        <v>794</v>
      </c>
      <c r="D108" s="2">
        <v>-335195.51999999996</v>
      </c>
      <c r="E108" s="2">
        <v>-303080.51999999996</v>
      </c>
      <c r="F108" s="2">
        <v>-362555</v>
      </c>
      <c r="G108" s="2">
        <v>-364102.05</v>
      </c>
      <c r="H108" s="2">
        <v>-467620.82</v>
      </c>
      <c r="I108" s="2"/>
      <c r="J108" s="2">
        <v>-1832553.9100000001</v>
      </c>
      <c r="K108" t="str">
        <f t="shared" si="5"/>
        <v>insert into business_analytic.report.orenda values(2026, 1, '2021129000', 'Клавдієво-Тарасов,Фора-310 Центральна,2Ж', NULL, -335195.52, 'Orenda');</v>
      </c>
      <c r="L108" t="str">
        <f t="shared" si="5"/>
        <v>insert into business_analytic.report.orenda values(2026, 2, '2021129000', 'Клавдієво-Тарасов,Фора-310 Центральна,2Ж', NULL, -303080.52, 'Orenda');</v>
      </c>
      <c r="M108" t="str">
        <f t="shared" si="6"/>
        <v>insert into business_analytic.report.orenda values(2026, 3, '2021129000', 'Клавдієво-Тарасов,Фора-310 Центральна,2Ж', NULL, -362555, 'Orenda');</v>
      </c>
      <c r="N108" t="str">
        <f t="shared" si="7"/>
        <v>insert into business_analytic.report.orenda values(2026, 4, '2021129000', 'Клавдієво-Тарасов,Фора-310 Центральна,2Ж', NULL, -364102.05, 'Orenda');</v>
      </c>
      <c r="O108" t="str">
        <f t="shared" si="7"/>
        <v>insert into business_analytic.report.orenda values(2026, 5, '2021129000', 'Клавдієво-Тарасов,Фора-310 Центральна,2Ж', NULL, -467620.82, 'Orenda');</v>
      </c>
    </row>
    <row r="109" spans="1:15" x14ac:dyDescent="0.3">
      <c r="A109" t="s">
        <v>31</v>
      </c>
      <c r="B109" t="s">
        <v>668</v>
      </c>
      <c r="C109" t="s">
        <v>795</v>
      </c>
      <c r="D109" s="2">
        <v>-783776.90999999992</v>
      </c>
      <c r="E109" s="2">
        <v>-746954.5</v>
      </c>
      <c r="F109" s="2">
        <v>-841094.89999999991</v>
      </c>
      <c r="G109" s="2">
        <v>-874835.62</v>
      </c>
      <c r="H109" s="2">
        <v>-1041008.69</v>
      </c>
      <c r="I109" s="2">
        <v>-256927.78</v>
      </c>
      <c r="J109" s="2">
        <v>-4544598.4000000004</v>
      </c>
      <c r="K109" t="str">
        <f t="shared" si="5"/>
        <v>insert into business_analytic.report.orenda values(2026, 1, '2021129100', 'Козин,Фора-311 Обухівське Шосе,39', NULL, -783776.91, 'Orenda');</v>
      </c>
      <c r="L109" t="str">
        <f t="shared" si="5"/>
        <v>insert into business_analytic.report.orenda values(2026, 2, '2021129100', 'Козин,Фора-311 Обухівське Шосе,39', NULL, -746954.5, 'Orenda');</v>
      </c>
      <c r="M109" t="str">
        <f t="shared" si="6"/>
        <v>insert into business_analytic.report.orenda values(2026, 3, '2021129100', 'Козин,Фора-311 Обухівське Шосе,39', NULL, -841094.9, 'Orenda');</v>
      </c>
      <c r="N109" t="str">
        <f t="shared" si="7"/>
        <v>insert into business_analytic.report.orenda values(2026, 4, '2021129100', 'Козин,Фора-311 Обухівське Шосе,39', NULL, -874835.62, 'Orenda');</v>
      </c>
      <c r="O109" t="str">
        <f t="shared" si="7"/>
        <v>insert into business_analytic.report.orenda values(2026, 5, '2021129100', 'Козин,Фора-311 Обухівське Шосе,39', NULL, -1041008.69, 'Orenda');</v>
      </c>
    </row>
    <row r="110" spans="1:15" x14ac:dyDescent="0.3">
      <c r="A110" t="s">
        <v>32</v>
      </c>
      <c r="B110" t="s">
        <v>665</v>
      </c>
      <c r="C110" t="s">
        <v>796</v>
      </c>
      <c r="D110" s="2">
        <v>-738722.14</v>
      </c>
      <c r="E110" s="2">
        <v>-788508.16999999993</v>
      </c>
      <c r="F110" s="2">
        <v>-1002770.35</v>
      </c>
      <c r="G110" s="2">
        <v>-1008003.85</v>
      </c>
      <c r="H110" s="2">
        <v>-1176261.7</v>
      </c>
      <c r="I110" s="2"/>
      <c r="J110" s="2">
        <v>-4714266.21</v>
      </c>
      <c r="K110" t="str">
        <f t="shared" si="5"/>
        <v>insert into business_analytic.report.orenda values(2026, 1, '2021129400', 'Мила,Фора-314 Комарова,44В', NULL, -738722.14, 'Orenda');</v>
      </c>
      <c r="L110" t="str">
        <f t="shared" si="5"/>
        <v>insert into business_analytic.report.orenda values(2026, 2, '2021129400', 'Мила,Фора-314 Комарова,44В', NULL, -788508.17, 'Orenda');</v>
      </c>
      <c r="M110" t="str">
        <f t="shared" si="6"/>
        <v>insert into business_analytic.report.orenda values(2026, 3, '2021129400', 'Мила,Фора-314 Комарова,44В', NULL, -1002770.35, 'Orenda');</v>
      </c>
      <c r="N110" t="str">
        <f t="shared" si="7"/>
        <v>insert into business_analytic.report.orenda values(2026, 4, '2021129400', 'Мила,Фора-314 Комарова,44В', NULL, -1008003.85, 'Orenda');</v>
      </c>
      <c r="O110" t="str">
        <f t="shared" si="7"/>
        <v>insert into business_analytic.report.orenda values(2026, 5, '2021129400', 'Мила,Фора-314 Комарова,44В', NULL, -1176261.7, 'Orenda');</v>
      </c>
    </row>
    <row r="111" spans="1:15" x14ac:dyDescent="0.3">
      <c r="A111" t="s">
        <v>33</v>
      </c>
      <c r="B111" t="s">
        <v>505</v>
      </c>
      <c r="C111" t="s">
        <v>797</v>
      </c>
      <c r="D111" s="2">
        <v>-238941.81</v>
      </c>
      <c r="E111" s="2">
        <v>-192750.96</v>
      </c>
      <c r="F111" s="2">
        <v>-242894.00999999998</v>
      </c>
      <c r="G111" s="2">
        <v>-254895.09</v>
      </c>
      <c r="H111" s="2">
        <v>-323193.11</v>
      </c>
      <c r="I111" s="2"/>
      <c r="J111" s="2">
        <v>-1252674.98</v>
      </c>
      <c r="K111" t="str">
        <f t="shared" si="5"/>
        <v>insert into business_analytic.report.orenda values(2026, 1, '2021129500', 'Калита,Фора-315 Миру,45', NULL, -238941.81, 'Orenda');</v>
      </c>
      <c r="L111" t="str">
        <f t="shared" si="5"/>
        <v>insert into business_analytic.report.orenda values(2026, 2, '2021129500', 'Калита,Фора-315 Миру,45', NULL, -192750.96, 'Orenda');</v>
      </c>
      <c r="M111" t="str">
        <f t="shared" si="6"/>
        <v>insert into business_analytic.report.orenda values(2026, 3, '2021129500', 'Калита,Фора-315 Миру,45', NULL, -242894.01, 'Orenda');</v>
      </c>
      <c r="N111" t="str">
        <f t="shared" si="7"/>
        <v>insert into business_analytic.report.orenda values(2026, 4, '2021129500', 'Калита,Фора-315 Миру,45', NULL, -254895.09, 'Orenda');</v>
      </c>
      <c r="O111" t="str">
        <f t="shared" si="7"/>
        <v>insert into business_analytic.report.orenda values(2026, 5, '2021129500', 'Калита,Фора-315 Миру,45', NULL, -323193.11, 'Orenda');</v>
      </c>
    </row>
    <row r="112" spans="1:15" x14ac:dyDescent="0.3">
      <c r="A112" t="s">
        <v>34</v>
      </c>
      <c r="B112" t="s">
        <v>506</v>
      </c>
      <c r="C112" t="s">
        <v>798</v>
      </c>
      <c r="D112" s="2">
        <v>-791360.61</v>
      </c>
      <c r="E112" s="2">
        <v>-758333.13</v>
      </c>
      <c r="F112" s="2">
        <v>-819054.95</v>
      </c>
      <c r="G112" s="2">
        <v>-782770.23</v>
      </c>
      <c r="H112" s="2">
        <v>-769158.30999999994</v>
      </c>
      <c r="I112" s="2"/>
      <c r="J112" s="2">
        <v>-3920677.23</v>
      </c>
      <c r="K112" t="str">
        <f t="shared" si="5"/>
        <v>insert into business_analytic.report.orenda values(2026, 1, '2021129900', 'СофБорщагівка,Фора-319 Сагайдачного,20А', NULL, -791360.61, 'Orenda');</v>
      </c>
      <c r="L112" t="str">
        <f t="shared" si="5"/>
        <v>insert into business_analytic.report.orenda values(2026, 2, '2021129900', 'СофБорщагівка,Фора-319 Сагайдачного,20А', NULL, -758333.13, 'Orenda');</v>
      </c>
      <c r="M112" t="str">
        <f t="shared" si="6"/>
        <v>insert into business_analytic.report.orenda values(2026, 3, '2021129900', 'СофБорщагівка,Фора-319 Сагайдачного,20А', NULL, -819054.95, 'Orenda');</v>
      </c>
      <c r="N112" t="str">
        <f t="shared" si="7"/>
        <v>insert into business_analytic.report.orenda values(2026, 4, '2021129900', 'СофБорщагівка,Фора-319 Сагайдачного,20А', NULL, -782770.23, 'Orenda');</v>
      </c>
      <c r="O112" t="str">
        <f t="shared" si="7"/>
        <v>insert into business_analytic.report.orenda values(2026, 5, '2021129900', 'СофБорщагівка,Фора-319 Сагайдачного,20А', NULL, -769158.31, 'Orenda');</v>
      </c>
    </row>
    <row r="113" spans="1:15" x14ac:dyDescent="0.3">
      <c r="A113" t="s">
        <v>35</v>
      </c>
      <c r="B113" t="s">
        <v>507</v>
      </c>
      <c r="C113" t="s">
        <v>799</v>
      </c>
      <c r="D113" s="2">
        <v>-250253.96</v>
      </c>
      <c r="E113" s="2">
        <v>-249418.65</v>
      </c>
      <c r="F113" s="2">
        <v>-271672.39999999997</v>
      </c>
      <c r="G113" s="2">
        <v>-270765.55</v>
      </c>
      <c r="H113" s="2">
        <v>-286585.74</v>
      </c>
      <c r="I113" s="2">
        <v>-107394.68</v>
      </c>
      <c r="J113" s="2">
        <v>-1436090.98</v>
      </c>
      <c r="K113" t="str">
        <f t="shared" si="5"/>
        <v>insert into business_analytic.report.orenda values(2026, 1, '2021130000', 'Ірпінь,Фора-320 Університетська,2Ф/3', NULL, -250253.96, 'Orenda');</v>
      </c>
      <c r="L113" t="str">
        <f t="shared" si="5"/>
        <v>insert into business_analytic.report.orenda values(2026, 2, '2021130000', 'Ірпінь,Фора-320 Університетська,2Ф/3', NULL, -249418.65, 'Orenda');</v>
      </c>
      <c r="M113" t="str">
        <f t="shared" si="6"/>
        <v>insert into business_analytic.report.orenda values(2026, 3, '2021130000', 'Ірпінь,Фора-320 Університетська,2Ф/3', NULL, -271672.4, 'Orenda');</v>
      </c>
      <c r="N113" t="str">
        <f t="shared" si="7"/>
        <v>insert into business_analytic.report.orenda values(2026, 4, '2021130000', 'Ірпінь,Фора-320 Університетська,2Ф/3', NULL, -270765.55, 'Orenda');</v>
      </c>
      <c r="O113" t="str">
        <f t="shared" si="7"/>
        <v>insert into business_analytic.report.orenda values(2026, 5, '2021130000', 'Ірпінь,Фора-320 Університетська,2Ф/3', NULL, -286585.74, 'Orenda');</v>
      </c>
    </row>
    <row r="114" spans="1:15" x14ac:dyDescent="0.3">
      <c r="A114" t="s">
        <v>36</v>
      </c>
      <c r="B114" t="s">
        <v>508</v>
      </c>
      <c r="C114" t="s">
        <v>800</v>
      </c>
      <c r="D114" s="2">
        <v>-533652.13</v>
      </c>
      <c r="E114" s="2">
        <v>-510420.20999999996</v>
      </c>
      <c r="F114" s="2">
        <v>-576629.86</v>
      </c>
      <c r="G114" s="2">
        <v>-550189.5</v>
      </c>
      <c r="H114" s="2">
        <v>-569797.32999999996</v>
      </c>
      <c r="I114" s="2">
        <v>-435775.70999999996</v>
      </c>
      <c r="J114" s="2">
        <v>-3176464.7399999998</v>
      </c>
      <c r="K114" t="str">
        <f t="shared" si="5"/>
        <v>insert into business_analytic.report.orenda values(2026, 1, '2021130400', 'Коцюбинське,Фора-324 Доківська,14/1', NULL, -533652.13, 'Orenda');</v>
      </c>
      <c r="L114" t="str">
        <f t="shared" si="5"/>
        <v>insert into business_analytic.report.orenda values(2026, 2, '2021130400', 'Коцюбинське,Фора-324 Доківська,14/1', NULL, -510420.21, 'Orenda');</v>
      </c>
      <c r="M114" t="str">
        <f t="shared" si="6"/>
        <v>insert into business_analytic.report.orenda values(2026, 3, '2021130400', 'Коцюбинське,Фора-324 Доківська,14/1', NULL, -576629.86, 'Orenda');</v>
      </c>
      <c r="N114" t="str">
        <f t="shared" si="7"/>
        <v>insert into business_analytic.report.orenda values(2026, 4, '2021130400', 'Коцюбинське,Фора-324 Доківська,14/1', NULL, -550189.5, 'Orenda');</v>
      </c>
      <c r="O114" t="str">
        <f t="shared" si="7"/>
        <v>insert into business_analytic.report.orenda values(2026, 5, '2021130400', 'Коцюбинське,Фора-324 Доківська,14/1', NULL, -569797.33, 'Orenda');</v>
      </c>
    </row>
    <row r="115" spans="1:15" x14ac:dyDescent="0.3">
      <c r="A115" t="s">
        <v>37</v>
      </c>
      <c r="B115" t="s">
        <v>692</v>
      </c>
      <c r="C115" t="s">
        <v>801</v>
      </c>
      <c r="D115" s="2">
        <v>-521020.98</v>
      </c>
      <c r="E115" s="2">
        <v>-460191.13999999996</v>
      </c>
      <c r="F115" s="2">
        <v>-533144.30999999994</v>
      </c>
      <c r="G115" s="2">
        <v>-568328.74</v>
      </c>
      <c r="H115" s="2">
        <v>-786502.95</v>
      </c>
      <c r="I115" s="2"/>
      <c r="J115" s="2">
        <v>-2869188.12</v>
      </c>
      <c r="K115" t="str">
        <f t="shared" si="5"/>
        <v>insert into business_analytic.report.orenda values(2026, 1, '2021130600', 'Вороньків,Фора-326 Вишнева,18', NULL, -521020.98, 'Orenda');</v>
      </c>
      <c r="L115" t="str">
        <f t="shared" si="5"/>
        <v>insert into business_analytic.report.orenda values(2026, 2, '2021130600', 'Вороньків,Фора-326 Вишнева,18', NULL, -460191.14, 'Orenda');</v>
      </c>
      <c r="M115" t="str">
        <f t="shared" si="6"/>
        <v>insert into business_analytic.report.orenda values(2026, 3, '2021130600', 'Вороньків,Фора-326 Вишнева,18', NULL, -533144.31, 'Orenda');</v>
      </c>
      <c r="N115" t="str">
        <f t="shared" si="7"/>
        <v>insert into business_analytic.report.orenda values(2026, 4, '2021130600', 'Вороньків,Фора-326 Вишнева,18', NULL, -568328.74, 'Orenda');</v>
      </c>
      <c r="O115" t="str">
        <f t="shared" si="7"/>
        <v>insert into business_analytic.report.orenda values(2026, 5, '2021130600', 'Вороньків,Фора-326 Вишнева,18', NULL, -786502.95, 'Orenda');</v>
      </c>
    </row>
    <row r="116" spans="1:15" x14ac:dyDescent="0.3">
      <c r="A116" t="s">
        <v>38</v>
      </c>
      <c r="B116" t="s">
        <v>509</v>
      </c>
      <c r="C116" t="s">
        <v>802</v>
      </c>
      <c r="D116" s="2">
        <v>-596671.55999999994</v>
      </c>
      <c r="E116" s="2">
        <v>-477428.63999999996</v>
      </c>
      <c r="F116" s="2">
        <v>-577837.64</v>
      </c>
      <c r="G116" s="2">
        <v>-590136.54999999993</v>
      </c>
      <c r="H116" s="2">
        <v>-597845.88</v>
      </c>
      <c r="I116" s="2"/>
      <c r="J116" s="2">
        <v>-2839920.27</v>
      </c>
      <c r="K116" t="str">
        <f t="shared" si="5"/>
        <v>insert into business_analytic.report.orenda values(2026, 1, '2021132900', 'Славутич,Фора-349 Поліський квартал,60', NULL, -596671.56, 'Orenda');</v>
      </c>
      <c r="L116" t="str">
        <f t="shared" si="5"/>
        <v>insert into business_analytic.report.orenda values(2026, 2, '2021132900', 'Славутич,Фора-349 Поліський квартал,60', NULL, -477428.64, 'Orenda');</v>
      </c>
      <c r="M116" t="str">
        <f t="shared" si="6"/>
        <v>insert into business_analytic.report.orenda values(2026, 3, '2021132900', 'Славутич,Фора-349 Поліський квартал,60', NULL, -577837.64, 'Orenda');</v>
      </c>
      <c r="N116" t="str">
        <f t="shared" si="7"/>
        <v>insert into business_analytic.report.orenda values(2026, 4, '2021132900', 'Славутич,Фора-349 Поліський квартал,60', NULL, -590136.55, 'Orenda');</v>
      </c>
      <c r="O116" t="str">
        <f t="shared" si="7"/>
        <v>insert into business_analytic.report.orenda values(2026, 5, '2021132900', 'Славутич,Фора-349 Поліський квартал,60', NULL, -597845.88, 'Orenda');</v>
      </c>
    </row>
    <row r="117" spans="1:15" x14ac:dyDescent="0.3">
      <c r="A117" t="s">
        <v>187</v>
      </c>
      <c r="B117" t="s">
        <v>510</v>
      </c>
      <c r="C117" t="s">
        <v>803</v>
      </c>
      <c r="D117" s="2">
        <v>-561781.49</v>
      </c>
      <c r="E117" s="2">
        <v>-561781.49</v>
      </c>
      <c r="F117" s="2">
        <v>-561781.49</v>
      </c>
      <c r="G117" s="2">
        <v>-561781.49</v>
      </c>
      <c r="H117" s="2">
        <v>-561781.49</v>
      </c>
      <c r="I117" s="2"/>
      <c r="J117" s="2">
        <v>-2808907.45</v>
      </c>
      <c r="K117" t="str">
        <f t="shared" si="5"/>
        <v>insert into business_analytic.report.orenda values(2026, 1, '2021133700', 'Бориспіль,Фора-357 Київський шлях,14Ж', NULL, -561781.49, 'Orenda');</v>
      </c>
      <c r="L117" t="str">
        <f t="shared" si="5"/>
        <v>insert into business_analytic.report.orenda values(2026, 2, '2021133700', 'Бориспіль,Фора-357 Київський шлях,14Ж', NULL, -561781.49, 'Orenda');</v>
      </c>
      <c r="M117" t="str">
        <f t="shared" si="6"/>
        <v>insert into business_analytic.report.orenda values(2026, 3, '2021133700', 'Бориспіль,Фора-357 Київський шлях,14Ж', NULL, -561781.49, 'Orenda');</v>
      </c>
      <c r="N117" t="str">
        <f t="shared" si="7"/>
        <v>insert into business_analytic.report.orenda values(2026, 4, '2021133700', 'Бориспіль,Фора-357 Київський шлях,14Ж', NULL, -561781.49, 'Orenda');</v>
      </c>
      <c r="O117" t="str">
        <f t="shared" si="7"/>
        <v>insert into business_analytic.report.orenda values(2026, 5, '2021133700', 'Бориспіль,Фора-357 Київський шлях,14Ж', NULL, -561781.49, 'Orenda');</v>
      </c>
    </row>
    <row r="118" spans="1:15" x14ac:dyDescent="0.3">
      <c r="A118" t="s">
        <v>39</v>
      </c>
      <c r="B118" t="s">
        <v>511</v>
      </c>
      <c r="C118" t="s">
        <v>804</v>
      </c>
      <c r="D118" s="2">
        <v>-1144441.92</v>
      </c>
      <c r="E118" s="2">
        <v>-1147589.22</v>
      </c>
      <c r="F118" s="2">
        <v>-1311169.3399999999</v>
      </c>
      <c r="G118" s="2">
        <v>-1260725.27</v>
      </c>
      <c r="H118" s="2">
        <v>-1327590.71</v>
      </c>
      <c r="I118" s="2"/>
      <c r="J118" s="2">
        <v>-6191516.46</v>
      </c>
      <c r="K118" t="str">
        <f t="shared" si="5"/>
        <v>insert into business_analytic.report.orenda values(2026, 1, '2021134300', 'Київ,Фора-364 Тираспольська,56', NULL, -1144441.92, 'Orenda');</v>
      </c>
      <c r="L118" t="str">
        <f t="shared" si="5"/>
        <v>insert into business_analytic.report.orenda values(2026, 2, '2021134300', 'Київ,Фора-364 Тираспольська,56', NULL, -1147589.22, 'Orenda');</v>
      </c>
      <c r="M118" t="str">
        <f t="shared" si="6"/>
        <v>insert into business_analytic.report.orenda values(2026, 3, '2021134300', 'Київ,Фора-364 Тираспольська,56', NULL, -1311169.34, 'Orenda');</v>
      </c>
      <c r="N118" t="str">
        <f t="shared" si="7"/>
        <v>insert into business_analytic.report.orenda values(2026, 4, '2021134300', 'Київ,Фора-364 Тираспольська,56', NULL, -1260725.27, 'Orenda');</v>
      </c>
      <c r="O118" t="str">
        <f t="shared" si="7"/>
        <v>insert into business_analytic.report.orenda values(2026, 5, '2021134300', 'Київ,Фора-364 Тираспольська,56', NULL, -1327590.71, 'Orenda');</v>
      </c>
    </row>
    <row r="119" spans="1:15" x14ac:dyDescent="0.3">
      <c r="A119" t="s">
        <v>188</v>
      </c>
      <c r="B119" t="s">
        <v>512</v>
      </c>
      <c r="C119" t="s">
        <v>805</v>
      </c>
      <c r="D119" s="2">
        <v>-1734989.94</v>
      </c>
      <c r="E119" s="2">
        <v>-1194989.94</v>
      </c>
      <c r="F119" s="2">
        <v>-1534989.94</v>
      </c>
      <c r="G119" s="2">
        <v>-1534989.94</v>
      </c>
      <c r="H119" s="2">
        <v>-1734989.94</v>
      </c>
      <c r="I119" s="2"/>
      <c r="J119" s="2">
        <v>-7734949.7000000002</v>
      </c>
      <c r="K119" t="str">
        <f t="shared" si="5"/>
        <v>insert into business_analytic.report.orenda values(2026, 1, '2021136900', 'Київ,Фора-394 Лесі Українки,28', NULL, -1734989.94, 'Orenda');</v>
      </c>
      <c r="L119" t="str">
        <f t="shared" si="5"/>
        <v>insert into business_analytic.report.orenda values(2026, 2, '2021136900', 'Київ,Фора-394 Лесі Українки,28', NULL, -1194989.94, 'Orenda');</v>
      </c>
      <c r="M119" t="str">
        <f t="shared" si="6"/>
        <v>insert into business_analytic.report.orenda values(2026, 3, '2021136900', 'Київ,Фора-394 Лесі Українки,28', NULL, -1534989.94, 'Orenda');</v>
      </c>
      <c r="N119" t="str">
        <f t="shared" si="7"/>
        <v>insert into business_analytic.report.orenda values(2026, 4, '2021136900', 'Київ,Фора-394 Лесі Українки,28', NULL, -1534989.94, 'Orenda');</v>
      </c>
      <c r="O119" t="str">
        <f t="shared" si="7"/>
        <v>insert into business_analytic.report.orenda values(2026, 5, '2021136900', 'Київ,Фора-394 Лесі Українки,28', NULL, -1734989.94, 'Orenda');</v>
      </c>
    </row>
    <row r="120" spans="1:15" x14ac:dyDescent="0.3">
      <c r="A120" t="s">
        <v>40</v>
      </c>
      <c r="B120" t="s">
        <v>513</v>
      </c>
      <c r="C120" t="s">
        <v>806</v>
      </c>
      <c r="D120" s="2">
        <v>-711333.13</v>
      </c>
      <c r="E120" s="2">
        <v>-576393.71</v>
      </c>
      <c r="F120" s="2">
        <v>-827879.64999999991</v>
      </c>
      <c r="G120" s="2">
        <v>-801982.34</v>
      </c>
      <c r="H120" s="2">
        <v>-842512.17999999993</v>
      </c>
      <c r="I120" s="2"/>
      <c r="J120" s="2">
        <v>-3760101.01</v>
      </c>
      <c r="K120" t="str">
        <f t="shared" si="5"/>
        <v>insert into business_analytic.report.orenda values(2026, 1, '2021137200', 'Фастів,Фора-398 Мазепи,6', NULL, -711333.13, 'Orenda');</v>
      </c>
      <c r="L120" t="str">
        <f t="shared" si="5"/>
        <v>insert into business_analytic.report.orenda values(2026, 2, '2021137200', 'Фастів,Фора-398 Мазепи,6', NULL, -576393.71, 'Orenda');</v>
      </c>
      <c r="M120" t="str">
        <f t="shared" si="6"/>
        <v>insert into business_analytic.report.orenda values(2026, 3, '2021137200', 'Фастів,Фора-398 Мазепи,6', NULL, -827879.65, 'Orenda');</v>
      </c>
      <c r="N120" t="str">
        <f t="shared" si="7"/>
        <v>insert into business_analytic.report.orenda values(2026, 4, '2021137200', 'Фастів,Фора-398 Мазепи,6', NULL, -801982.34, 'Orenda');</v>
      </c>
      <c r="O120" t="str">
        <f t="shared" si="7"/>
        <v>insert into business_analytic.report.orenda values(2026, 5, '2021137200', 'Фастів,Фора-398 Мазепи,6', NULL, -842512.18, 'Orenda');</v>
      </c>
    </row>
    <row r="121" spans="1:15" x14ac:dyDescent="0.3">
      <c r="A121" t="s">
        <v>41</v>
      </c>
      <c r="B121" t="s">
        <v>514</v>
      </c>
      <c r="C121" t="s">
        <v>807</v>
      </c>
      <c r="D121" s="2">
        <v>-665077.13</v>
      </c>
      <c r="E121" s="2">
        <v>-632545.5</v>
      </c>
      <c r="F121" s="2">
        <v>-720632.46</v>
      </c>
      <c r="G121" s="2">
        <v>-684503.14</v>
      </c>
      <c r="H121" s="2">
        <v>-726482.29999999993</v>
      </c>
      <c r="I121" s="2"/>
      <c r="J121" s="2">
        <v>-3429240.53</v>
      </c>
      <c r="K121" t="str">
        <f t="shared" si="5"/>
        <v>insert into business_analytic.report.orenda values(2026, 1, '2021137300', 'Київ,Фора-399 Науки,58В', NULL, -665077.13, 'Orenda');</v>
      </c>
      <c r="L121" t="str">
        <f t="shared" si="5"/>
        <v>insert into business_analytic.report.orenda values(2026, 2, '2021137300', 'Київ,Фора-399 Науки,58В', NULL, -632545.5, 'Orenda');</v>
      </c>
      <c r="M121" t="str">
        <f t="shared" si="6"/>
        <v>insert into business_analytic.report.orenda values(2026, 3, '2021137300', 'Київ,Фора-399 Науки,58В', NULL, -720632.46, 'Orenda');</v>
      </c>
      <c r="N121" t="str">
        <f t="shared" si="7"/>
        <v>insert into business_analytic.report.orenda values(2026, 4, '2021137300', 'Київ,Фора-399 Науки,58В', NULL, -684503.14, 'Orenda');</v>
      </c>
      <c r="O121" t="str">
        <f t="shared" si="7"/>
        <v>insert into business_analytic.report.orenda values(2026, 5, '2021137300', 'Київ,Фора-399 Науки,58В', NULL, -726482.3, 'Orenda');</v>
      </c>
    </row>
    <row r="122" spans="1:15" x14ac:dyDescent="0.3">
      <c r="A122" t="s">
        <v>189</v>
      </c>
      <c r="B122" t="s">
        <v>515</v>
      </c>
      <c r="C122" t="s">
        <v>808</v>
      </c>
      <c r="D122" s="2">
        <v>-296999.8</v>
      </c>
      <c r="E122" s="2">
        <v>-296999.8</v>
      </c>
      <c r="F122" s="2">
        <v>-296999.8</v>
      </c>
      <c r="G122" s="2">
        <v>-296999.8</v>
      </c>
      <c r="H122" s="2">
        <v>-296999.8</v>
      </c>
      <c r="I122" s="2"/>
      <c r="J122" s="2">
        <v>-1484999</v>
      </c>
      <c r="K122" t="str">
        <f t="shared" si="5"/>
        <v>insert into business_analytic.report.orenda values(2026, 1, '2021137400', 'Боярка,Фора-400 Франка,101А', NULL, -296999.8, 'Orenda');</v>
      </c>
      <c r="L122" t="str">
        <f t="shared" si="5"/>
        <v>insert into business_analytic.report.orenda values(2026, 2, '2021137400', 'Боярка,Фора-400 Франка,101А', NULL, -296999.8, 'Orenda');</v>
      </c>
      <c r="M122" t="str">
        <f t="shared" si="6"/>
        <v>insert into business_analytic.report.orenda values(2026, 3, '2021137400', 'Боярка,Фора-400 Франка,101А', NULL, -296999.8, 'Orenda');</v>
      </c>
      <c r="N122" t="str">
        <f t="shared" si="7"/>
        <v>insert into business_analytic.report.orenda values(2026, 4, '2021137400', 'Боярка,Фора-400 Франка,101А', NULL, -296999.8, 'Orenda');</v>
      </c>
      <c r="O122" t="str">
        <f t="shared" si="7"/>
        <v>insert into business_analytic.report.orenda values(2026, 5, '2021137400', 'Боярка,Фора-400 Франка,101А', NULL, -296999.8, 'Orenda');</v>
      </c>
    </row>
    <row r="123" spans="1:15" x14ac:dyDescent="0.3">
      <c r="A123" t="s">
        <v>190</v>
      </c>
      <c r="B123" t="s">
        <v>516</v>
      </c>
      <c r="C123" t="s">
        <v>809</v>
      </c>
      <c r="D123" s="2">
        <v>-275000</v>
      </c>
      <c r="E123" s="2">
        <v>-275000</v>
      </c>
      <c r="F123" s="2">
        <v>-275000</v>
      </c>
      <c r="G123" s="2">
        <v>-275000</v>
      </c>
      <c r="H123" s="2">
        <v>-275000</v>
      </c>
      <c r="I123" s="2"/>
      <c r="J123" s="2">
        <v>-1375000</v>
      </c>
      <c r="K123" t="str">
        <f t="shared" si="5"/>
        <v>insert into business_analytic.report.orenda values(2026, 1, '2021137500', 'Вишневе,Фора-401 Машинобудівників,11А', NULL, -275000, 'Orenda');</v>
      </c>
      <c r="L123" t="str">
        <f t="shared" si="5"/>
        <v>insert into business_analytic.report.orenda values(2026, 2, '2021137500', 'Вишневе,Фора-401 Машинобудівників,11А', NULL, -275000, 'Orenda');</v>
      </c>
      <c r="M123" t="str">
        <f t="shared" si="6"/>
        <v>insert into business_analytic.report.orenda values(2026, 3, '2021137500', 'Вишневе,Фора-401 Машинобудівників,11А', NULL, -275000, 'Orenda');</v>
      </c>
      <c r="N123" t="str">
        <f t="shared" si="7"/>
        <v>insert into business_analytic.report.orenda values(2026, 4, '2021137500', 'Вишневе,Фора-401 Машинобудівників,11А', NULL, -275000, 'Orenda');</v>
      </c>
      <c r="O123" t="str">
        <f t="shared" si="7"/>
        <v>insert into business_analytic.report.orenda values(2026, 5, '2021137500', 'Вишневе,Фора-401 Машинобудівників,11А', NULL, -275000, 'Orenda');</v>
      </c>
    </row>
    <row r="124" spans="1:15" x14ac:dyDescent="0.3">
      <c r="A124" t="s">
        <v>191</v>
      </c>
      <c r="B124" t="s">
        <v>517</v>
      </c>
      <c r="C124" t="s">
        <v>810</v>
      </c>
      <c r="D124" s="2">
        <v>-626580.96</v>
      </c>
      <c r="E124" s="2">
        <v>-634241.69999999995</v>
      </c>
      <c r="F124" s="2">
        <v>-638512.81999999995</v>
      </c>
      <c r="G124" s="2">
        <v>-650629.85</v>
      </c>
      <c r="H124" s="2">
        <v>-651303.92999999993</v>
      </c>
      <c r="I124" s="2"/>
      <c r="J124" s="2">
        <v>-3201269.26</v>
      </c>
      <c r="K124" t="str">
        <f t="shared" si="5"/>
        <v>insert into business_analytic.report.orenda values(2026, 1, '2021137600', 'Київ,Фора-402 Юнкерова,92А', NULL, -626580.96, 'Orenda');</v>
      </c>
      <c r="L124" t="str">
        <f t="shared" si="5"/>
        <v>insert into business_analytic.report.orenda values(2026, 2, '2021137600', 'Київ,Фора-402 Юнкерова,92А', NULL, -634241.7, 'Orenda');</v>
      </c>
      <c r="M124" t="str">
        <f t="shared" si="6"/>
        <v>insert into business_analytic.report.orenda values(2026, 3, '2021137600', 'Київ,Фора-402 Юнкерова,92А', NULL, -638512.82, 'Orenda');</v>
      </c>
      <c r="N124" t="str">
        <f t="shared" si="7"/>
        <v>insert into business_analytic.report.orenda values(2026, 4, '2021137600', 'Київ,Фора-402 Юнкерова,92А', NULL, -650629.85, 'Orenda');</v>
      </c>
      <c r="O124" t="str">
        <f t="shared" si="7"/>
        <v>insert into business_analytic.report.orenda values(2026, 5, '2021137600', 'Київ,Фора-402 Юнкерова,92А', NULL, -651303.93, 'Orenda');</v>
      </c>
    </row>
    <row r="125" spans="1:15" x14ac:dyDescent="0.3">
      <c r="A125" t="s">
        <v>42</v>
      </c>
      <c r="B125" t="s">
        <v>518</v>
      </c>
      <c r="C125" t="s">
        <v>811</v>
      </c>
      <c r="D125" s="2">
        <v>-512101.82999999996</v>
      </c>
      <c r="E125" s="2">
        <v>-494755.29</v>
      </c>
      <c r="F125" s="2">
        <v>-542509.51</v>
      </c>
      <c r="G125" s="2">
        <v>-522647.52999999997</v>
      </c>
      <c r="H125" s="2">
        <v>-581750.17999999993</v>
      </c>
      <c r="I125" s="2"/>
      <c r="J125" s="2">
        <v>-2653764.34</v>
      </c>
      <c r="K125" t="str">
        <f t="shared" si="5"/>
        <v>insert into business_analytic.report.orenda values(2026, 1, '2021137800', 'СофБорщагівка,Фора-404 Небесної Сотні,38', NULL, -512101.83, 'Orenda');</v>
      </c>
      <c r="L125" t="str">
        <f t="shared" si="5"/>
        <v>insert into business_analytic.report.orenda values(2026, 2, '2021137800', 'СофБорщагівка,Фора-404 Небесної Сотні,38', NULL, -494755.29, 'Orenda');</v>
      </c>
      <c r="M125" t="str">
        <f t="shared" si="6"/>
        <v>insert into business_analytic.report.orenda values(2026, 3, '2021137800', 'СофБорщагівка,Фора-404 Небесної Сотні,38', NULL, -542509.51, 'Orenda');</v>
      </c>
      <c r="N125" t="str">
        <f t="shared" si="7"/>
        <v>insert into business_analytic.report.orenda values(2026, 4, '2021137800', 'СофБорщагівка,Фора-404 Небесної Сотні,38', NULL, -522647.53, 'Orenda');</v>
      </c>
      <c r="O125" t="str">
        <f t="shared" si="7"/>
        <v>insert into business_analytic.report.orenda values(2026, 5, '2021137800', 'СофБорщагівка,Фора-404 Небесної Сотні,38', NULL, -581750.18, 'Orenda');</v>
      </c>
    </row>
    <row r="126" spans="1:15" x14ac:dyDescent="0.3">
      <c r="A126" t="s">
        <v>192</v>
      </c>
      <c r="B126" t="s">
        <v>519</v>
      </c>
      <c r="C126" t="s">
        <v>812</v>
      </c>
      <c r="D126" s="2">
        <v>-1114757.29</v>
      </c>
      <c r="E126" s="2">
        <v>-1129445.8599999999</v>
      </c>
      <c r="F126" s="2">
        <v>-1071088.78</v>
      </c>
      <c r="G126" s="2">
        <v>-1087905.69</v>
      </c>
      <c r="H126" s="2">
        <v>-1090626.0799999998</v>
      </c>
      <c r="I126" s="2"/>
      <c r="J126" s="2">
        <v>-5493823.6999999993</v>
      </c>
      <c r="K126" t="str">
        <f t="shared" si="5"/>
        <v>insert into business_analytic.report.orenda values(2026, 1, '2021138100', 'Київ,Фора-408 Зарічна,6', NULL, -1114757.29, 'Orenda');</v>
      </c>
      <c r="L126" t="str">
        <f t="shared" si="5"/>
        <v>insert into business_analytic.report.orenda values(2026, 2, '2021138100', 'Київ,Фора-408 Зарічна,6', NULL, -1129445.86, 'Orenda');</v>
      </c>
      <c r="M126" t="str">
        <f t="shared" si="6"/>
        <v>insert into business_analytic.report.orenda values(2026, 3, '2021138100', 'Київ,Фора-408 Зарічна,6', NULL, -1071088.78, 'Orenda');</v>
      </c>
      <c r="N126" t="str">
        <f t="shared" si="7"/>
        <v>insert into business_analytic.report.orenda values(2026, 4, '2021138100', 'Київ,Фора-408 Зарічна,6', NULL, -1087905.69, 'Orenda');</v>
      </c>
      <c r="O126" t="str">
        <f t="shared" si="7"/>
        <v>insert into business_analytic.report.orenda values(2026, 5, '2021138100', 'Київ,Фора-408 Зарічна,6', NULL, -1090626.08, 'Orenda');</v>
      </c>
    </row>
    <row r="127" spans="1:15" x14ac:dyDescent="0.3">
      <c r="A127" t="s">
        <v>193</v>
      </c>
      <c r="B127" t="s">
        <v>520</v>
      </c>
      <c r="C127" t="s">
        <v>813</v>
      </c>
      <c r="D127" s="2">
        <v>-900000</v>
      </c>
      <c r="E127" s="2">
        <v>-900000</v>
      </c>
      <c r="F127" s="2">
        <v>-900000</v>
      </c>
      <c r="G127" s="2">
        <v>-900000</v>
      </c>
      <c r="H127" s="2">
        <v>-900000</v>
      </c>
      <c r="I127" s="2"/>
      <c r="J127" s="2">
        <v>-4500000</v>
      </c>
      <c r="K127" t="str">
        <f t="shared" si="5"/>
        <v>insert into business_analytic.report.orenda values(2026, 1, '2021138200', 'Київ,Фора-409 Лютеранська,3', NULL, -900000, 'Orenda');</v>
      </c>
      <c r="L127" t="str">
        <f t="shared" si="5"/>
        <v>insert into business_analytic.report.orenda values(2026, 2, '2021138200', 'Київ,Фора-409 Лютеранська,3', NULL, -900000, 'Orenda');</v>
      </c>
      <c r="M127" t="str">
        <f t="shared" si="6"/>
        <v>insert into business_analytic.report.orenda values(2026, 3, '2021138200', 'Київ,Фора-409 Лютеранська,3', NULL, -900000, 'Orenda');</v>
      </c>
      <c r="N127" t="str">
        <f t="shared" si="7"/>
        <v>insert into business_analytic.report.orenda values(2026, 4, '2021138200', 'Київ,Фора-409 Лютеранська,3', NULL, -900000, 'Orenda');</v>
      </c>
      <c r="O127" t="str">
        <f t="shared" si="7"/>
        <v>insert into business_analytic.report.orenda values(2026, 5, '2021138200', 'Київ,Фора-409 Лютеранська,3', NULL, -900000, 'Orenda');</v>
      </c>
    </row>
    <row r="128" spans="1:15" x14ac:dyDescent="0.3">
      <c r="A128" t="s">
        <v>194</v>
      </c>
      <c r="B128" t="s">
        <v>521</v>
      </c>
      <c r="C128" t="s">
        <v>814</v>
      </c>
      <c r="D128" s="2">
        <v>-352940.5</v>
      </c>
      <c r="E128" s="2">
        <v>-352940.5</v>
      </c>
      <c r="F128" s="2">
        <v>-352940.5</v>
      </c>
      <c r="G128" s="2">
        <v>-352940.5</v>
      </c>
      <c r="H128" s="2">
        <v>-352940.5</v>
      </c>
      <c r="I128" s="2"/>
      <c r="J128" s="2">
        <v>-1764702.5</v>
      </c>
      <c r="K128" t="str">
        <f t="shared" si="5"/>
        <v>insert into business_analytic.report.orenda values(2026, 1, '2021138300', 'Київ,Фора-410 Преображенська,28', NULL, -352940.5, 'Orenda');</v>
      </c>
      <c r="L128" t="str">
        <f t="shared" si="5"/>
        <v>insert into business_analytic.report.orenda values(2026, 2, '2021138300', 'Київ,Фора-410 Преображенська,28', NULL, -352940.5, 'Orenda');</v>
      </c>
      <c r="M128" t="str">
        <f t="shared" si="6"/>
        <v>insert into business_analytic.report.orenda values(2026, 3, '2021138300', 'Київ,Фора-410 Преображенська,28', NULL, -352940.5, 'Orenda');</v>
      </c>
      <c r="N128" t="str">
        <f t="shared" si="7"/>
        <v>insert into business_analytic.report.orenda values(2026, 4, '2021138300', 'Київ,Фора-410 Преображенська,28', NULL, -352940.5, 'Orenda');</v>
      </c>
      <c r="O128" t="str">
        <f t="shared" si="7"/>
        <v>insert into business_analytic.report.orenda values(2026, 5, '2021138300', 'Київ,Фора-410 Преображенська,28', NULL, -352940.5, 'Orenda');</v>
      </c>
    </row>
    <row r="129" spans="1:15" x14ac:dyDescent="0.3">
      <c r="A129" t="s">
        <v>195</v>
      </c>
      <c r="B129" t="s">
        <v>522</v>
      </c>
      <c r="C129" t="s">
        <v>815</v>
      </c>
      <c r="D129" s="2">
        <v>-236070.22</v>
      </c>
      <c r="E129" s="2">
        <v>-236070.22</v>
      </c>
      <c r="F129" s="2">
        <v>-236070.22</v>
      </c>
      <c r="G129" s="2">
        <v>-236070.22</v>
      </c>
      <c r="H129" s="2">
        <v>-236070.22</v>
      </c>
      <c r="I129" s="2"/>
      <c r="J129" s="2">
        <v>-1180351.1000000001</v>
      </c>
      <c r="K129" t="str">
        <f t="shared" si="5"/>
        <v>insert into business_analytic.report.orenda values(2026, 1, '2021138400', 'Київ,Фора-411 Гавела Вацлава,4', NULL, -236070.22, 'Orenda');</v>
      </c>
      <c r="L129" t="str">
        <f t="shared" si="5"/>
        <v>insert into business_analytic.report.orenda values(2026, 2, '2021138400', 'Київ,Фора-411 Гавела Вацлава,4', NULL, -236070.22, 'Orenda');</v>
      </c>
      <c r="M129" t="str">
        <f t="shared" si="6"/>
        <v>insert into business_analytic.report.orenda values(2026, 3, '2021138400', 'Київ,Фора-411 Гавела Вацлава,4', NULL, -236070.22, 'Orenda');</v>
      </c>
      <c r="N129" t="str">
        <f t="shared" si="7"/>
        <v>insert into business_analytic.report.orenda values(2026, 4, '2021138400', 'Київ,Фора-411 Гавела Вацлава,4', NULL, -236070.22, 'Orenda');</v>
      </c>
      <c r="O129" t="str">
        <f t="shared" si="7"/>
        <v>insert into business_analytic.report.orenda values(2026, 5, '2021138400', 'Київ,Фора-411 Гавела Вацлава,4', NULL, -236070.22, 'Orenda');</v>
      </c>
    </row>
    <row r="130" spans="1:15" x14ac:dyDescent="0.3">
      <c r="A130" t="s">
        <v>196</v>
      </c>
      <c r="B130" t="s">
        <v>523</v>
      </c>
      <c r="C130" t="s">
        <v>816</v>
      </c>
      <c r="D130" s="2">
        <v>-322901.59999999998</v>
      </c>
      <c r="E130" s="2">
        <v>-322901.59999999998</v>
      </c>
      <c r="F130" s="2">
        <v>-322901.59999999998</v>
      </c>
      <c r="G130" s="2">
        <v>-322901.59999999998</v>
      </c>
      <c r="H130" s="2">
        <v>-322901.59999999998</v>
      </c>
      <c r="I130" s="2">
        <v>-42116.49</v>
      </c>
      <c r="J130" s="2">
        <v>-1656624.4899999998</v>
      </c>
      <c r="K130" t="str">
        <f t="shared" si="5"/>
        <v>insert into business_analytic.report.orenda values(2026, 1, '2021138800', 'Київ,Фора-416 Донецька,8А', NULL, -322901.6, 'Orenda');</v>
      </c>
      <c r="L130" t="str">
        <f t="shared" si="5"/>
        <v>insert into business_analytic.report.orenda values(2026, 2, '2021138800', 'Київ,Фора-416 Донецька,8А', NULL, -322901.6, 'Orenda');</v>
      </c>
      <c r="M130" t="str">
        <f t="shared" si="6"/>
        <v>insert into business_analytic.report.orenda values(2026, 3, '2021138800', 'Київ,Фора-416 Донецька,8А', NULL, -322901.6, 'Orenda');</v>
      </c>
      <c r="N130" t="str">
        <f t="shared" si="7"/>
        <v>insert into business_analytic.report.orenda values(2026, 4, '2021138800', 'Київ,Фора-416 Донецька,8А', NULL, -322901.6, 'Orenda');</v>
      </c>
      <c r="O130" t="str">
        <f t="shared" si="7"/>
        <v>insert into business_analytic.report.orenda values(2026, 5, '2021138800', 'Київ,Фора-416 Донецька,8А', NULL, -322901.6, 'Orenda');</v>
      </c>
    </row>
    <row r="131" spans="1:15" x14ac:dyDescent="0.3">
      <c r="A131" t="s">
        <v>43</v>
      </c>
      <c r="B131" t="s">
        <v>524</v>
      </c>
      <c r="C131" t="s">
        <v>817</v>
      </c>
      <c r="D131" s="2">
        <v>-612521.5</v>
      </c>
      <c r="E131" s="2">
        <v>-612521.5</v>
      </c>
      <c r="F131" s="2">
        <v>-728019.37</v>
      </c>
      <c r="G131" s="2">
        <v>-767399.41999999993</v>
      </c>
      <c r="H131" s="2">
        <v>-812155.46</v>
      </c>
      <c r="I131" s="2">
        <v>-133145.04</v>
      </c>
      <c r="J131" s="2">
        <v>-3665762.29</v>
      </c>
      <c r="K131" t="str">
        <f t="shared" si="5"/>
        <v>insert into business_analytic.report.orenda values(2026, 1, '2021139000', 'Київ,Фора-418 Берестейський,60', NULL, -612521.5, 'Orenda');</v>
      </c>
      <c r="L131" t="str">
        <f t="shared" si="5"/>
        <v>insert into business_analytic.report.orenda values(2026, 2, '2021139000', 'Київ,Фора-418 Берестейський,60', NULL, -612521.5, 'Orenda');</v>
      </c>
      <c r="M131" t="str">
        <f t="shared" si="6"/>
        <v>insert into business_analytic.report.orenda values(2026, 3, '2021139000', 'Київ,Фора-418 Берестейський,60', NULL, -728019.37, 'Orenda');</v>
      </c>
      <c r="N131" t="str">
        <f t="shared" si="7"/>
        <v>insert into business_analytic.report.orenda values(2026, 4, '2021139000', 'Київ,Фора-418 Берестейський,60', NULL, -767399.42, 'Orenda');</v>
      </c>
      <c r="O131" t="str">
        <f t="shared" si="7"/>
        <v>insert into business_analytic.report.orenda values(2026, 5, '2021139000', 'Київ,Фора-418 Берестейський,60', NULL, -812155.46, 'Orenda');</v>
      </c>
    </row>
    <row r="132" spans="1:15" x14ac:dyDescent="0.3">
      <c r="A132" t="s">
        <v>44</v>
      </c>
      <c r="B132" t="s">
        <v>525</v>
      </c>
      <c r="C132" t="s">
        <v>818</v>
      </c>
      <c r="D132" s="2">
        <v>-650726.21</v>
      </c>
      <c r="E132" s="2">
        <v>-681534.7</v>
      </c>
      <c r="F132" s="2">
        <v>-700000</v>
      </c>
      <c r="G132" s="2">
        <v>-700000</v>
      </c>
      <c r="H132" s="2">
        <v>-700000</v>
      </c>
      <c r="I132" s="2"/>
      <c r="J132" s="2">
        <v>-3432260.91</v>
      </c>
      <c r="K132" t="str">
        <f t="shared" si="5"/>
        <v>insert into business_analytic.report.orenda values(2026, 1, '2021139100', 'БЦерква,Фора-420 Олександрійський,58Г', NULL, -650726.21, 'Orenda');</v>
      </c>
      <c r="L132" t="str">
        <f t="shared" si="5"/>
        <v>insert into business_analytic.report.orenda values(2026, 2, '2021139100', 'БЦерква,Фора-420 Олександрійський,58Г', NULL, -681534.7, 'Orenda');</v>
      </c>
      <c r="M132" t="str">
        <f t="shared" si="6"/>
        <v>insert into business_analytic.report.orenda values(2026, 3, '2021139100', 'БЦерква,Фора-420 Олександрійський,58Г', NULL, -700000, 'Orenda');</v>
      </c>
      <c r="N132" t="str">
        <f t="shared" si="7"/>
        <v>insert into business_analytic.report.orenda values(2026, 4, '2021139100', 'БЦерква,Фора-420 Олександрійський,58Г', NULL, -700000, 'Orenda');</v>
      </c>
      <c r="O132" t="str">
        <f t="shared" si="7"/>
        <v>insert into business_analytic.report.orenda values(2026, 5, '2021139100', 'БЦерква,Фора-420 Олександрійський,58Г', NULL, -700000, 'Orenda');</v>
      </c>
    </row>
    <row r="133" spans="1:15" x14ac:dyDescent="0.3">
      <c r="A133" t="s">
        <v>45</v>
      </c>
      <c r="B133" t="s">
        <v>526</v>
      </c>
      <c r="C133" t="s">
        <v>819</v>
      </c>
      <c r="D133" s="2">
        <v>-400000</v>
      </c>
      <c r="E133" s="2">
        <v>-400000</v>
      </c>
      <c r="F133" s="2">
        <v>-400000</v>
      </c>
      <c r="G133" s="2">
        <v>-400000</v>
      </c>
      <c r="H133" s="2">
        <v>-400000</v>
      </c>
      <c r="I133" s="2">
        <v>-48756.02</v>
      </c>
      <c r="J133" s="2">
        <v>-2048756.02</v>
      </c>
      <c r="K133" t="str">
        <f t="shared" si="5"/>
        <v>insert into business_analytic.report.orenda values(2026, 1, '2021139200', 'Біла Церква,Фора-421 Шевченка,87', NULL, -400000, 'Orenda');</v>
      </c>
      <c r="L133" t="str">
        <f t="shared" si="5"/>
        <v>insert into business_analytic.report.orenda values(2026, 2, '2021139200', 'Біла Церква,Фора-421 Шевченка,87', NULL, -400000, 'Orenda');</v>
      </c>
      <c r="M133" t="str">
        <f t="shared" si="6"/>
        <v>insert into business_analytic.report.orenda values(2026, 3, '2021139200', 'Біла Церква,Фора-421 Шевченка,87', NULL, -400000, 'Orenda');</v>
      </c>
      <c r="N133" t="str">
        <f t="shared" si="7"/>
        <v>insert into business_analytic.report.orenda values(2026, 4, '2021139200', 'Біла Церква,Фора-421 Шевченка,87', NULL, -400000, 'Orenda');</v>
      </c>
      <c r="O133" t="str">
        <f t="shared" si="7"/>
        <v>insert into business_analytic.report.orenda values(2026, 5, '2021139200', 'Біла Церква,Фора-421 Шевченка,87', NULL, -400000, 'Orenda');</v>
      </c>
    </row>
    <row r="134" spans="1:15" x14ac:dyDescent="0.3">
      <c r="A134" t="s">
        <v>46</v>
      </c>
      <c r="B134" t="s">
        <v>527</v>
      </c>
      <c r="C134" t="s">
        <v>820</v>
      </c>
      <c r="D134" s="2">
        <v>-890207.82</v>
      </c>
      <c r="E134" s="2">
        <v>-891915.53999999992</v>
      </c>
      <c r="F134" s="2">
        <v>-891915.53999999992</v>
      </c>
      <c r="G134" s="2">
        <v>-918475.74</v>
      </c>
      <c r="H134" s="2">
        <v>-922561.91999999993</v>
      </c>
      <c r="I134" s="2"/>
      <c r="J134" s="2">
        <v>-4515076.5599999996</v>
      </c>
      <c r="K134" t="str">
        <f t="shared" si="5"/>
        <v>insert into business_analytic.report.orenda values(2026, 1, '2021139700', 'Київ,Фора-428 Чорновола,27', NULL, -890207.82, 'Orenda');</v>
      </c>
      <c r="L134" t="str">
        <f t="shared" si="5"/>
        <v>insert into business_analytic.report.orenda values(2026, 2, '2021139700', 'Київ,Фора-428 Чорновола,27', NULL, -891915.54, 'Orenda');</v>
      </c>
      <c r="M134" t="str">
        <f t="shared" si="6"/>
        <v>insert into business_analytic.report.orenda values(2026, 3, '2021139700', 'Київ,Фора-428 Чорновола,27', NULL, -891915.54, 'Orenda');</v>
      </c>
      <c r="N134" t="str">
        <f t="shared" si="7"/>
        <v>insert into business_analytic.report.orenda values(2026, 4, '2021139700', 'Київ,Фора-428 Чорновола,27', NULL, -918475.74, 'Orenda');</v>
      </c>
      <c r="O134" t="str">
        <f t="shared" si="7"/>
        <v>insert into business_analytic.report.orenda values(2026, 5, '2021139700', 'Київ,Фора-428 Чорновола,27', NULL, -922561.92, 'Orenda');</v>
      </c>
    </row>
    <row r="135" spans="1:15" x14ac:dyDescent="0.3">
      <c r="A135" t="s">
        <v>197</v>
      </c>
      <c r="B135" t="s">
        <v>528</v>
      </c>
      <c r="C135" t="s">
        <v>816</v>
      </c>
      <c r="D135" s="2">
        <v>-375200</v>
      </c>
      <c r="E135" s="2">
        <v>-375200</v>
      </c>
      <c r="F135" s="2">
        <v>-375200</v>
      </c>
      <c r="G135" s="2">
        <v>-375200</v>
      </c>
      <c r="H135" s="2">
        <v>-375200</v>
      </c>
      <c r="I135" s="2"/>
      <c r="J135" s="2">
        <v>-1876000</v>
      </c>
      <c r="K135" t="str">
        <f t="shared" si="5"/>
        <v>insert into business_analytic.report.orenda values(2026, 1, '2021139900', 'Володарка,Фора-430 Миру,5', NULL, -375200, 'Orenda');</v>
      </c>
      <c r="L135" t="str">
        <f t="shared" si="5"/>
        <v>insert into business_analytic.report.orenda values(2026, 2, '2021139900', 'Володарка,Фора-430 Миру,5', NULL, -375200, 'Orenda');</v>
      </c>
      <c r="M135" t="str">
        <f t="shared" si="6"/>
        <v>insert into business_analytic.report.orenda values(2026, 3, '2021139900', 'Володарка,Фора-430 Миру,5', NULL, -375200, 'Orenda');</v>
      </c>
      <c r="N135" t="str">
        <f t="shared" si="7"/>
        <v>insert into business_analytic.report.orenda values(2026, 4, '2021139900', 'Володарка,Фора-430 Миру,5', NULL, -375200, 'Orenda');</v>
      </c>
      <c r="O135" t="str">
        <f t="shared" si="7"/>
        <v>insert into business_analytic.report.orenda values(2026, 5, '2021139900', 'Володарка,Фора-430 Миру,5', NULL, -375200, 'Orenda');</v>
      </c>
    </row>
    <row r="136" spans="1:15" x14ac:dyDescent="0.3">
      <c r="A136" t="s">
        <v>47</v>
      </c>
      <c r="B136" t="s">
        <v>529</v>
      </c>
      <c r="C136" t="s">
        <v>821</v>
      </c>
      <c r="D136" s="2">
        <v>-600722.34</v>
      </c>
      <c r="E136" s="2">
        <v>-571993.42999999993</v>
      </c>
      <c r="F136" s="2">
        <v>-613965.44999999995</v>
      </c>
      <c r="G136" s="2">
        <v>-615256.57999999996</v>
      </c>
      <c r="H136" s="2">
        <v>-645468.76</v>
      </c>
      <c r="I136" s="2"/>
      <c r="J136" s="2">
        <v>-3047406.5599999996</v>
      </c>
      <c r="K136" t="str">
        <f t="shared" ref="K136:L199" si="8">"insert into business_analytic.report.orenda values("&amp;2026&amp;", "&amp;D$7&amp;", '"&amp;$A136&amp;"', '"&amp;$B136&amp;"', "&amp;"NULL"&amp;", "&amp;IF(D136="",0,D136)&amp;", "&amp;"'Orenda'"&amp;");"</f>
        <v>insert into business_analytic.report.orenda values(2026, 1, '2021140000', 'Ірпінь,Фора-462 Антонова,6', NULL, -600722.34, 'Orenda');</v>
      </c>
      <c r="L136" t="str">
        <f t="shared" si="8"/>
        <v>insert into business_analytic.report.orenda values(2026, 2, '2021140000', 'Ірпінь,Фора-462 Антонова,6', NULL, -571993.43, 'Orenda');</v>
      </c>
      <c r="M136" t="str">
        <f t="shared" si="6"/>
        <v>insert into business_analytic.report.orenda values(2026, 3, '2021140000', 'Ірпінь,Фора-462 Антонова,6', NULL, -613965.45, 'Orenda');</v>
      </c>
      <c r="N136" t="str">
        <f t="shared" si="7"/>
        <v>insert into business_analytic.report.orenda values(2026, 4, '2021140000', 'Ірпінь,Фора-462 Антонова,6', NULL, -615256.58, 'Orenda');</v>
      </c>
      <c r="O136" t="str">
        <f t="shared" si="7"/>
        <v>insert into business_analytic.report.orenda values(2026, 5, '2021140000', 'Ірпінь,Фора-462 Антонова,6', NULL, -645468.76, 'Orenda');</v>
      </c>
    </row>
    <row r="137" spans="1:15" x14ac:dyDescent="0.3">
      <c r="A137" t="s">
        <v>48</v>
      </c>
      <c r="B137" t="s">
        <v>530</v>
      </c>
      <c r="C137" t="s">
        <v>822</v>
      </c>
      <c r="D137" s="2">
        <v>-349690.49</v>
      </c>
      <c r="E137" s="2">
        <v>-255889.91999999998</v>
      </c>
      <c r="F137" s="2">
        <v>-297597.89</v>
      </c>
      <c r="G137" s="2">
        <v>-277308.13</v>
      </c>
      <c r="H137" s="2">
        <v>-364091.82</v>
      </c>
      <c r="I137" s="2"/>
      <c r="J137" s="2">
        <v>-1544578.25</v>
      </c>
      <c r="K137" t="str">
        <f t="shared" si="8"/>
        <v>insert into business_analytic.report.orenda values(2026, 1, '2021141000', 'Київ,Фора-463 Івасюка,39В', NULL, -349690.49, 'Orenda');</v>
      </c>
      <c r="L137" t="str">
        <f t="shared" si="8"/>
        <v>insert into business_analytic.report.orenda values(2026, 2, '2021141000', 'Київ,Фора-463 Івасюка,39В', NULL, -255889.92, 'Orenda');</v>
      </c>
      <c r="M137" t="str">
        <f t="shared" ref="M137:M200" si="9">"insert into business_analytic.report.orenda values("&amp;2026&amp;", "&amp;F$7&amp;", '"&amp;$A137&amp;"', '"&amp;$B137&amp;"', "&amp;"NULL"&amp;", "&amp;IF(F137="",0,F137)&amp;", "&amp;"'Orenda'"&amp;");"</f>
        <v>insert into business_analytic.report.orenda values(2026, 3, '2021141000', 'Київ,Фора-463 Івасюка,39В', NULL, -297597.89, 'Orenda');</v>
      </c>
      <c r="N137" t="str">
        <f t="shared" ref="N137:O200" si="10">"insert into business_analytic.report.orenda values("&amp;2026&amp;", "&amp;G$7&amp;", '"&amp;$A137&amp;"', '"&amp;$B137&amp;"', "&amp;"NULL"&amp;", "&amp;IF(G137="",0,G137)&amp;", "&amp;"'Orenda'"&amp;");"</f>
        <v>insert into business_analytic.report.orenda values(2026, 4, '2021141000', 'Київ,Фора-463 Івасюка,39В', NULL, -277308.13, 'Orenda');</v>
      </c>
      <c r="O137" t="str">
        <f t="shared" si="10"/>
        <v>insert into business_analytic.report.orenda values(2026, 5, '2021141000', 'Київ,Фора-463 Івасюка,39В', NULL, -364091.82, 'Orenda');</v>
      </c>
    </row>
    <row r="138" spans="1:15" x14ac:dyDescent="0.3">
      <c r="A138" t="s">
        <v>49</v>
      </c>
      <c r="B138" t="s">
        <v>531</v>
      </c>
      <c r="C138" t="s">
        <v>823</v>
      </c>
      <c r="D138" s="2">
        <v>-396850</v>
      </c>
      <c r="E138" s="2">
        <v>-337322.5</v>
      </c>
      <c r="F138" s="2">
        <v>-425013.55</v>
      </c>
      <c r="G138" s="2">
        <v>-436535</v>
      </c>
      <c r="H138" s="2">
        <v>-436535</v>
      </c>
      <c r="I138" s="2"/>
      <c r="J138" s="2">
        <v>-2032256.05</v>
      </c>
      <c r="K138" t="str">
        <f t="shared" si="8"/>
        <v>insert into business_analytic.report.orenda values(2026, 1, '2021142000', 'Київ,Фора-464 Оболонський,51В', NULL, -396850, 'Orenda');</v>
      </c>
      <c r="L138" t="str">
        <f t="shared" si="8"/>
        <v>insert into business_analytic.report.orenda values(2026, 2, '2021142000', 'Київ,Фора-464 Оболонський,51В', NULL, -337322.5, 'Orenda');</v>
      </c>
      <c r="M138" t="str">
        <f t="shared" si="9"/>
        <v>insert into business_analytic.report.orenda values(2026, 3, '2021142000', 'Київ,Фора-464 Оболонський,51В', NULL, -425013.55, 'Orenda');</v>
      </c>
      <c r="N138" t="str">
        <f t="shared" si="10"/>
        <v>insert into business_analytic.report.orenda values(2026, 4, '2021142000', 'Київ,Фора-464 Оболонський,51В', NULL, -436535, 'Orenda');</v>
      </c>
      <c r="O138" t="str">
        <f t="shared" si="10"/>
        <v>insert into business_analytic.report.orenda values(2026, 5, '2021142000', 'Київ,Фора-464 Оболонський,51В', NULL, -436535, 'Orenda');</v>
      </c>
    </row>
    <row r="139" spans="1:15" x14ac:dyDescent="0.3">
      <c r="A139" t="s">
        <v>198</v>
      </c>
      <c r="B139" t="s">
        <v>532</v>
      </c>
      <c r="C139" t="s">
        <v>824</v>
      </c>
      <c r="D139" s="2">
        <v>-350996.8</v>
      </c>
      <c r="E139" s="2">
        <v>-350996.8</v>
      </c>
      <c r="F139" s="2">
        <v>-350996.8</v>
      </c>
      <c r="G139" s="2">
        <v>-386096.48</v>
      </c>
      <c r="H139" s="2">
        <v>-386096.48</v>
      </c>
      <c r="I139" s="2"/>
      <c r="J139" s="2">
        <v>-1825183.36</v>
      </c>
      <c r="K139" t="str">
        <f t="shared" si="8"/>
        <v>insert into business_analytic.report.orenda values(2026, 1, '2021143000', 'Київ,Фора-465 Парково-Сирецька,1', NULL, -350996.8, 'Orenda');</v>
      </c>
      <c r="L139" t="str">
        <f t="shared" si="8"/>
        <v>insert into business_analytic.report.orenda values(2026, 2, '2021143000', 'Київ,Фора-465 Парково-Сирецька,1', NULL, -350996.8, 'Orenda');</v>
      </c>
      <c r="M139" t="str">
        <f t="shared" si="9"/>
        <v>insert into business_analytic.report.orenda values(2026, 3, '2021143000', 'Київ,Фора-465 Парково-Сирецька,1', NULL, -350996.8, 'Orenda');</v>
      </c>
      <c r="N139" t="str">
        <f t="shared" si="10"/>
        <v>insert into business_analytic.report.orenda values(2026, 4, '2021143000', 'Київ,Фора-465 Парково-Сирецька,1', NULL, -386096.48, 'Orenda');</v>
      </c>
      <c r="O139" t="str">
        <f t="shared" si="10"/>
        <v>insert into business_analytic.report.orenda values(2026, 5, '2021143000', 'Київ,Фора-465 Парково-Сирецька,1', NULL, -386096.48, 'Orenda');</v>
      </c>
    </row>
    <row r="140" spans="1:15" x14ac:dyDescent="0.3">
      <c r="A140" t="s">
        <v>199</v>
      </c>
      <c r="B140" t="s">
        <v>533</v>
      </c>
      <c r="C140" t="s">
        <v>825</v>
      </c>
      <c r="D140" s="2">
        <v>-573906.66999999993</v>
      </c>
      <c r="E140" s="2">
        <v>-631297.32999999996</v>
      </c>
      <c r="F140" s="2">
        <v>-631297.32999999996</v>
      </c>
      <c r="G140" s="2">
        <v>-631297.32999999996</v>
      </c>
      <c r="H140" s="2">
        <v>-631297.32999999996</v>
      </c>
      <c r="I140" s="2"/>
      <c r="J140" s="2">
        <v>-3099095.9899999998</v>
      </c>
      <c r="K140" t="str">
        <f t="shared" si="8"/>
        <v>insert into business_analytic.report.orenda values(2026, 1, '2021145000', 'Київ,Фора-469 Шухевича,12', NULL, -573906.67, 'Orenda');</v>
      </c>
      <c r="L140" t="str">
        <f t="shared" si="8"/>
        <v>insert into business_analytic.report.orenda values(2026, 2, '2021145000', 'Київ,Фора-469 Шухевича,12', NULL, -631297.33, 'Orenda');</v>
      </c>
      <c r="M140" t="str">
        <f t="shared" si="9"/>
        <v>insert into business_analytic.report.orenda values(2026, 3, '2021145000', 'Київ,Фора-469 Шухевича,12', NULL, -631297.33, 'Orenda');</v>
      </c>
      <c r="N140" t="str">
        <f t="shared" si="10"/>
        <v>insert into business_analytic.report.orenda values(2026, 4, '2021145000', 'Київ,Фора-469 Шухевича,12', NULL, -631297.33, 'Orenda');</v>
      </c>
      <c r="O140" t="str">
        <f t="shared" si="10"/>
        <v>insert into business_analytic.report.orenda values(2026, 5, '2021145000', 'Київ,Фора-469 Шухевича,12', NULL, -631297.33, 'Orenda');</v>
      </c>
    </row>
    <row r="141" spans="1:15" x14ac:dyDescent="0.3">
      <c r="A141" t="s">
        <v>200</v>
      </c>
      <c r="B141" t="s">
        <v>534</v>
      </c>
      <c r="C141" t="s">
        <v>826</v>
      </c>
      <c r="D141" s="2">
        <v>-573396.05999999994</v>
      </c>
      <c r="E141" s="2">
        <v>-516056.44999999995</v>
      </c>
      <c r="F141" s="2">
        <v>-516056.44999999995</v>
      </c>
      <c r="G141" s="2">
        <v>-573396.05999999994</v>
      </c>
      <c r="H141" s="2">
        <v>-573396.05999999994</v>
      </c>
      <c r="I141" s="2"/>
      <c r="J141" s="2">
        <v>-2752301.08</v>
      </c>
      <c r="K141" t="str">
        <f t="shared" si="8"/>
        <v>insert into business_analytic.report.orenda values(2026, 1, '2021146100', 'Київ,Фора-489 Братства Тарасівців,3', NULL, -573396.06, 'Orenda');</v>
      </c>
      <c r="L141" t="str">
        <f t="shared" si="8"/>
        <v>insert into business_analytic.report.orenda values(2026, 2, '2021146100', 'Київ,Фора-489 Братства Тарасівців,3', NULL, -516056.45, 'Orenda');</v>
      </c>
      <c r="M141" t="str">
        <f t="shared" si="9"/>
        <v>insert into business_analytic.report.orenda values(2026, 3, '2021146100', 'Київ,Фора-489 Братства Тарасівців,3', NULL, -516056.45, 'Orenda');</v>
      </c>
      <c r="N141" t="str">
        <f t="shared" si="10"/>
        <v>insert into business_analytic.report.orenda values(2026, 4, '2021146100', 'Київ,Фора-489 Братства Тарасівців,3', NULL, -573396.06, 'Orenda');</v>
      </c>
      <c r="O141" t="str">
        <f t="shared" si="10"/>
        <v>insert into business_analytic.report.orenda values(2026, 5, '2021146100', 'Київ,Фора-489 Братства Тарасівців,3', NULL, -573396.06, 'Orenda');</v>
      </c>
    </row>
    <row r="142" spans="1:15" x14ac:dyDescent="0.3">
      <c r="A142" t="s">
        <v>50</v>
      </c>
      <c r="B142" t="s">
        <v>535</v>
      </c>
      <c r="C142" t="s">
        <v>424</v>
      </c>
      <c r="D142" s="2">
        <v>-308000</v>
      </c>
      <c r="E142" s="2">
        <v>-308000</v>
      </c>
      <c r="F142" s="2">
        <v>-308000</v>
      </c>
      <c r="G142" s="2">
        <v>-308000</v>
      </c>
      <c r="H142" s="2">
        <v>-308000</v>
      </c>
      <c r="I142" s="2"/>
      <c r="J142" s="2">
        <v>-1540000</v>
      </c>
      <c r="K142" t="str">
        <f t="shared" si="8"/>
        <v>insert into business_analytic.report.orenda values(2026, 1, '2021146200', 'Київ,Фора-490 Повітряних Сил,44', NULL, -308000, 'Orenda');</v>
      </c>
      <c r="L142" t="str">
        <f t="shared" si="8"/>
        <v>insert into business_analytic.report.orenda values(2026, 2, '2021146200', 'Київ,Фора-490 Повітряних Сил,44', NULL, -308000, 'Orenda');</v>
      </c>
      <c r="M142" t="str">
        <f t="shared" si="9"/>
        <v>insert into business_analytic.report.orenda values(2026, 3, '2021146200', 'Київ,Фора-490 Повітряних Сил,44', NULL, -308000, 'Orenda');</v>
      </c>
      <c r="N142" t="str">
        <f t="shared" si="10"/>
        <v>insert into business_analytic.report.orenda values(2026, 4, '2021146200', 'Київ,Фора-490 Повітряних Сил,44', NULL, -308000, 'Orenda');</v>
      </c>
      <c r="O142" t="str">
        <f t="shared" si="10"/>
        <v>insert into business_analytic.report.orenda values(2026, 5, '2021146200', 'Київ,Фора-490 Повітряних Сил,44', NULL, -308000, 'Orenda');</v>
      </c>
    </row>
    <row r="143" spans="1:15" x14ac:dyDescent="0.3">
      <c r="A143" t="s">
        <v>51</v>
      </c>
      <c r="B143" t="s">
        <v>536</v>
      </c>
      <c r="C143" t="s">
        <v>827</v>
      </c>
      <c r="D143" s="2">
        <v>-492456.04</v>
      </c>
      <c r="E143" s="2">
        <v>-468010.75999999995</v>
      </c>
      <c r="F143" s="2">
        <v>-522783.38</v>
      </c>
      <c r="G143" s="2">
        <v>-532548.81999999995</v>
      </c>
      <c r="H143" s="2">
        <v>-703302.86</v>
      </c>
      <c r="I143" s="2">
        <v>-239757.9</v>
      </c>
      <c r="J143" s="2">
        <v>-2958859.76</v>
      </c>
      <c r="K143" t="str">
        <f t="shared" si="8"/>
        <v>insert into business_analytic.report.orenda values(2026, 1, '2021146300', 'Обухів,Фора-491 Каштанова,6/1', NULL, -492456.04, 'Orenda');</v>
      </c>
      <c r="L143" t="str">
        <f t="shared" si="8"/>
        <v>insert into business_analytic.report.orenda values(2026, 2, '2021146300', 'Обухів,Фора-491 Каштанова,6/1', NULL, -468010.76, 'Orenda');</v>
      </c>
      <c r="M143" t="str">
        <f t="shared" si="9"/>
        <v>insert into business_analytic.report.orenda values(2026, 3, '2021146300', 'Обухів,Фора-491 Каштанова,6/1', NULL, -522783.38, 'Orenda');</v>
      </c>
      <c r="N143" t="str">
        <f t="shared" si="10"/>
        <v>insert into business_analytic.report.orenda values(2026, 4, '2021146300', 'Обухів,Фора-491 Каштанова,6/1', NULL, -532548.82, 'Orenda');</v>
      </c>
      <c r="O143" t="str">
        <f t="shared" si="10"/>
        <v>insert into business_analytic.report.orenda values(2026, 5, '2021146300', 'Обухів,Фора-491 Каштанова,6/1', NULL, -703302.86, 'Orenda');</v>
      </c>
    </row>
    <row r="144" spans="1:15" x14ac:dyDescent="0.3">
      <c r="A144" t="s">
        <v>201</v>
      </c>
      <c r="B144" t="s">
        <v>537</v>
      </c>
      <c r="C144" t="s">
        <v>828</v>
      </c>
      <c r="D144" s="2">
        <v>-1045000</v>
      </c>
      <c r="E144" s="2">
        <v>-1045000</v>
      </c>
      <c r="F144" s="2">
        <v>-1149500</v>
      </c>
      <c r="G144" s="2">
        <v>-1149500</v>
      </c>
      <c r="H144" s="2">
        <v>-1149500</v>
      </c>
      <c r="I144" s="2"/>
      <c r="J144" s="2">
        <v>-5538500</v>
      </c>
      <c r="K144" t="str">
        <f t="shared" si="8"/>
        <v>insert into business_analytic.report.orenda values(2026, 1, '2021146400', 'Київ,Фора-495 Оболонський,26', NULL, -1045000, 'Orenda');</v>
      </c>
      <c r="L144" t="str">
        <f t="shared" si="8"/>
        <v>insert into business_analytic.report.orenda values(2026, 2, '2021146400', 'Київ,Фора-495 Оболонський,26', NULL, -1045000, 'Orenda');</v>
      </c>
      <c r="M144" t="str">
        <f t="shared" si="9"/>
        <v>insert into business_analytic.report.orenda values(2026, 3, '2021146400', 'Київ,Фора-495 Оболонський,26', NULL, -1149500, 'Orenda');</v>
      </c>
      <c r="N144" t="str">
        <f t="shared" si="10"/>
        <v>insert into business_analytic.report.orenda values(2026, 4, '2021146400', 'Київ,Фора-495 Оболонський,26', NULL, -1149500, 'Orenda');</v>
      </c>
      <c r="O144" t="str">
        <f t="shared" si="10"/>
        <v>insert into business_analytic.report.orenda values(2026, 5, '2021146400', 'Київ,Фора-495 Оболонський,26', NULL, -1149500, 'Orenda');</v>
      </c>
    </row>
    <row r="145" spans="1:15" x14ac:dyDescent="0.3">
      <c r="A145" t="s">
        <v>52</v>
      </c>
      <c r="B145" t="s">
        <v>538</v>
      </c>
      <c r="C145" t="s">
        <v>829</v>
      </c>
      <c r="D145" s="2">
        <v>-435835.42</v>
      </c>
      <c r="E145" s="2">
        <v>-407142.69999999995</v>
      </c>
      <c r="F145" s="2">
        <v>-442058.54</v>
      </c>
      <c r="G145" s="2">
        <v>-439163.67</v>
      </c>
      <c r="H145" s="2">
        <v>-474599.02999999997</v>
      </c>
      <c r="I145" s="2">
        <v>-148604.44999999998</v>
      </c>
      <c r="J145" s="2">
        <v>-2347403.8099999996</v>
      </c>
      <c r="K145" t="str">
        <f t="shared" si="8"/>
        <v>insert into business_analytic.report.orenda values(2026, 1, '2021146500', 'Київ,Фора-496 Біличанська,1', NULL, -435835.42, 'Orenda');</v>
      </c>
      <c r="L145" t="str">
        <f t="shared" si="8"/>
        <v>insert into business_analytic.report.orenda values(2026, 2, '2021146500', 'Київ,Фора-496 Біличанська,1', NULL, -407142.7, 'Orenda');</v>
      </c>
      <c r="M145" t="str">
        <f t="shared" si="9"/>
        <v>insert into business_analytic.report.orenda values(2026, 3, '2021146500', 'Київ,Фора-496 Біличанська,1', NULL, -442058.54, 'Orenda');</v>
      </c>
      <c r="N145" t="str">
        <f t="shared" si="10"/>
        <v>insert into business_analytic.report.orenda values(2026, 4, '2021146500', 'Київ,Фора-496 Біличанська,1', NULL, -439163.67, 'Orenda');</v>
      </c>
      <c r="O145" t="str">
        <f t="shared" si="10"/>
        <v>insert into business_analytic.report.orenda values(2026, 5, '2021146500', 'Київ,Фора-496 Біличанська,1', NULL, -474599.03, 'Orenda');</v>
      </c>
    </row>
    <row r="146" spans="1:15" x14ac:dyDescent="0.3">
      <c r="A146" t="s">
        <v>202</v>
      </c>
      <c r="B146" t="s">
        <v>539</v>
      </c>
      <c r="C146" t="s">
        <v>426</v>
      </c>
      <c r="D146" s="2">
        <v>-326215.5</v>
      </c>
      <c r="E146" s="2">
        <v>-366010.85</v>
      </c>
      <c r="F146" s="2">
        <v>-378153.6</v>
      </c>
      <c r="G146" s="2">
        <v>-378153.6</v>
      </c>
      <c r="H146" s="2">
        <v>-378153.6</v>
      </c>
      <c r="I146" s="2"/>
      <c r="J146" s="2">
        <v>-1826687.15</v>
      </c>
      <c r="K146" t="str">
        <f t="shared" si="8"/>
        <v>insert into business_analytic.report.orenda values(2026, 1, '2021146600', 'Київ,Фора-499 Йорданська,10', NULL, -326215.5, 'Orenda');</v>
      </c>
      <c r="L146" t="str">
        <f t="shared" si="8"/>
        <v>insert into business_analytic.report.orenda values(2026, 2, '2021146600', 'Київ,Фора-499 Йорданська,10', NULL, -366010.85, 'Orenda');</v>
      </c>
      <c r="M146" t="str">
        <f t="shared" si="9"/>
        <v>insert into business_analytic.report.orenda values(2026, 3, '2021146600', 'Київ,Фора-499 Йорданська,10', NULL, -378153.6, 'Orenda');</v>
      </c>
      <c r="N146" t="str">
        <f t="shared" si="10"/>
        <v>insert into business_analytic.report.orenda values(2026, 4, '2021146600', 'Київ,Фора-499 Йорданська,10', NULL, -378153.6, 'Orenda');</v>
      </c>
      <c r="O146" t="str">
        <f t="shared" si="10"/>
        <v>insert into business_analytic.report.orenda values(2026, 5, '2021146600', 'Київ,Фора-499 Йорданська,10', NULL, -378153.6, 'Orenda');</v>
      </c>
    </row>
    <row r="147" spans="1:15" x14ac:dyDescent="0.3">
      <c r="A147" t="s">
        <v>53</v>
      </c>
      <c r="B147" t="s">
        <v>540</v>
      </c>
      <c r="C147" t="s">
        <v>830</v>
      </c>
      <c r="D147" s="2">
        <v>-232700</v>
      </c>
      <c r="E147" s="2">
        <v>-232700</v>
      </c>
      <c r="F147" s="2">
        <v>-232700</v>
      </c>
      <c r="G147" s="2">
        <v>-432700</v>
      </c>
      <c r="H147" s="2">
        <v>-432700</v>
      </c>
      <c r="I147" s="2">
        <v>-180426.41</v>
      </c>
      <c r="J147" s="2">
        <v>-1743926.4100000001</v>
      </c>
      <c r="K147" t="str">
        <f t="shared" si="8"/>
        <v>insert into business_analytic.report.orenda values(2026, 1, '2021146700', 'Іванковичі,Фора-561 Соборна,10Ц', NULL, -232700, 'Orenda');</v>
      </c>
      <c r="L147" t="str">
        <f t="shared" si="8"/>
        <v>insert into business_analytic.report.orenda values(2026, 2, '2021146700', 'Іванковичі,Фора-561 Соборна,10Ц', NULL, -232700, 'Orenda');</v>
      </c>
      <c r="M147" t="str">
        <f t="shared" si="9"/>
        <v>insert into business_analytic.report.orenda values(2026, 3, '2021146700', 'Іванковичі,Фора-561 Соборна,10Ц', NULL, -232700, 'Orenda');</v>
      </c>
      <c r="N147" t="str">
        <f t="shared" si="10"/>
        <v>insert into business_analytic.report.orenda values(2026, 4, '2021146700', 'Іванковичі,Фора-561 Соборна,10Ц', NULL, -432700, 'Orenda');</v>
      </c>
      <c r="O147" t="str">
        <f t="shared" si="10"/>
        <v>insert into business_analytic.report.orenda values(2026, 5, '2021146700', 'Іванковичі,Фора-561 Соборна,10Ц', NULL, -432700, 'Orenda');</v>
      </c>
    </row>
    <row r="148" spans="1:15" x14ac:dyDescent="0.3">
      <c r="A148" t="s">
        <v>203</v>
      </c>
      <c r="B148" t="s">
        <v>541</v>
      </c>
      <c r="C148" t="s">
        <v>831</v>
      </c>
      <c r="D148" s="2">
        <v>-247500</v>
      </c>
      <c r="E148" s="2">
        <v>-247500</v>
      </c>
      <c r="F148" s="2">
        <v>-247500</v>
      </c>
      <c r="G148" s="2">
        <v>-247500</v>
      </c>
      <c r="H148" s="2">
        <v>-247500</v>
      </c>
      <c r="I148" s="2"/>
      <c r="J148" s="2">
        <v>-1237500</v>
      </c>
      <c r="K148" t="str">
        <f t="shared" si="8"/>
        <v>insert into business_analytic.report.orenda values(2026, 1, '2021147000', 'Згурівка,Фора-501 Центральна,4', NULL, -247500, 'Orenda');</v>
      </c>
      <c r="L148" t="str">
        <f t="shared" si="8"/>
        <v>insert into business_analytic.report.orenda values(2026, 2, '2021147000', 'Згурівка,Фора-501 Центральна,4', NULL, -247500, 'Orenda');</v>
      </c>
      <c r="M148" t="str">
        <f t="shared" si="9"/>
        <v>insert into business_analytic.report.orenda values(2026, 3, '2021147000', 'Згурівка,Фора-501 Центральна,4', NULL, -247500, 'Orenda');</v>
      </c>
      <c r="N148" t="str">
        <f t="shared" si="10"/>
        <v>insert into business_analytic.report.orenda values(2026, 4, '2021147000', 'Згурівка,Фора-501 Центральна,4', NULL, -247500, 'Orenda');</v>
      </c>
      <c r="O148" t="str">
        <f t="shared" si="10"/>
        <v>insert into business_analytic.report.orenda values(2026, 5, '2021147000', 'Згурівка,Фора-501 Центральна,4', NULL, -247500, 'Orenda');</v>
      </c>
    </row>
    <row r="149" spans="1:15" x14ac:dyDescent="0.3">
      <c r="A149" t="s">
        <v>204</v>
      </c>
      <c r="B149" t="s">
        <v>542</v>
      </c>
      <c r="C149" t="s">
        <v>832</v>
      </c>
      <c r="D149" s="2">
        <v>-1069016</v>
      </c>
      <c r="E149" s="2">
        <v>-1069016</v>
      </c>
      <c r="F149" s="2">
        <v>-1069016</v>
      </c>
      <c r="G149" s="2">
        <v>-1111776.6399999999</v>
      </c>
      <c r="H149" s="2">
        <v>-1175917.5999999999</v>
      </c>
      <c r="I149" s="2"/>
      <c r="J149" s="2">
        <v>-5494742.2400000002</v>
      </c>
      <c r="K149" t="str">
        <f t="shared" si="8"/>
        <v>insert into business_analytic.report.orenda values(2026, 1, '2021147100', 'Буча,Фора-514 Гмирі,7Б', NULL, -1069016, 'Orenda');</v>
      </c>
      <c r="L149" t="str">
        <f t="shared" si="8"/>
        <v>insert into business_analytic.report.orenda values(2026, 2, '2021147100', 'Буча,Фора-514 Гмирі,7Б', NULL, -1069016, 'Orenda');</v>
      </c>
      <c r="M149" t="str">
        <f t="shared" si="9"/>
        <v>insert into business_analytic.report.orenda values(2026, 3, '2021147100', 'Буча,Фора-514 Гмирі,7Б', NULL, -1069016, 'Orenda');</v>
      </c>
      <c r="N149" t="str">
        <f t="shared" si="10"/>
        <v>insert into business_analytic.report.orenda values(2026, 4, '2021147100', 'Буча,Фора-514 Гмирі,7Б', NULL, -1111776.64, 'Orenda');</v>
      </c>
      <c r="O149" t="str">
        <f t="shared" si="10"/>
        <v>insert into business_analytic.report.orenda values(2026, 5, '2021147100', 'Буча,Фора-514 Гмирі,7Б', NULL, -1175917.6, 'Orenda');</v>
      </c>
    </row>
    <row r="150" spans="1:15" x14ac:dyDescent="0.3">
      <c r="A150" t="s">
        <v>54</v>
      </c>
      <c r="B150" t="s">
        <v>543</v>
      </c>
      <c r="C150" t="s">
        <v>429</v>
      </c>
      <c r="D150" s="2">
        <v>-748672.02999999991</v>
      </c>
      <c r="E150" s="2">
        <v>-704434.36</v>
      </c>
      <c r="F150" s="2">
        <v>-773024.66999999993</v>
      </c>
      <c r="G150" s="2">
        <v>-788498.63</v>
      </c>
      <c r="H150" s="2">
        <v>-850312.73</v>
      </c>
      <c r="I150" s="2">
        <v>-393883.98</v>
      </c>
      <c r="J150" s="2">
        <v>-4258826.3999999994</v>
      </c>
      <c r="K150" t="str">
        <f t="shared" si="8"/>
        <v>insert into business_analytic.report.orenda values(2026, 1, '2021147200', 'Нове,Фора-519 Крушельницької,1', NULL, -748672.03, 'Orenda');</v>
      </c>
      <c r="L150" t="str">
        <f t="shared" si="8"/>
        <v>insert into business_analytic.report.orenda values(2026, 2, '2021147200', 'Нове,Фора-519 Крушельницької,1', NULL, -704434.36, 'Orenda');</v>
      </c>
      <c r="M150" t="str">
        <f t="shared" si="9"/>
        <v>insert into business_analytic.report.orenda values(2026, 3, '2021147200', 'Нове,Фора-519 Крушельницької,1', NULL, -773024.67, 'Orenda');</v>
      </c>
      <c r="N150" t="str">
        <f t="shared" si="10"/>
        <v>insert into business_analytic.report.orenda values(2026, 4, '2021147200', 'Нове,Фора-519 Крушельницької,1', NULL, -788498.63, 'Orenda');</v>
      </c>
      <c r="O150" t="str">
        <f t="shared" si="10"/>
        <v>insert into business_analytic.report.orenda values(2026, 5, '2021147200', 'Нове,Фора-519 Крушельницької,1', NULL, -850312.73, 'Orenda');</v>
      </c>
    </row>
    <row r="151" spans="1:15" x14ac:dyDescent="0.3">
      <c r="A151" t="s">
        <v>55</v>
      </c>
      <c r="B151" t="s">
        <v>544</v>
      </c>
      <c r="C151" t="s">
        <v>833</v>
      </c>
      <c r="D151" s="2">
        <v>-410831.27999999997</v>
      </c>
      <c r="E151" s="2">
        <v>-410831.16</v>
      </c>
      <c r="F151" s="2">
        <v>-411065.27999999997</v>
      </c>
      <c r="G151" s="2">
        <v>-422906.93</v>
      </c>
      <c r="H151" s="2">
        <v>-497378.66</v>
      </c>
      <c r="I151" s="2">
        <v>-23373.01</v>
      </c>
      <c r="J151" s="2">
        <v>-2176386.3199999998</v>
      </c>
      <c r="K151" t="str">
        <f t="shared" si="8"/>
        <v>insert into business_analytic.report.orenda values(2026, 1, '2021147300', 'Бишів,Фора-516 Київська,54', NULL, -410831.28, 'Orenda');</v>
      </c>
      <c r="L151" t="str">
        <f t="shared" si="8"/>
        <v>insert into business_analytic.report.orenda values(2026, 2, '2021147300', 'Бишів,Фора-516 Київська,54', NULL, -410831.16, 'Orenda');</v>
      </c>
      <c r="M151" t="str">
        <f t="shared" si="9"/>
        <v>insert into business_analytic.report.orenda values(2026, 3, '2021147300', 'Бишів,Фора-516 Київська,54', NULL, -411065.28, 'Orenda');</v>
      </c>
      <c r="N151" t="str">
        <f t="shared" si="10"/>
        <v>insert into business_analytic.report.orenda values(2026, 4, '2021147300', 'Бишів,Фора-516 Київська,54', NULL, -422906.93, 'Orenda');</v>
      </c>
      <c r="O151" t="str">
        <f t="shared" si="10"/>
        <v>insert into business_analytic.report.orenda values(2026, 5, '2021147300', 'Бишів,Фора-516 Київська,54', NULL, -497378.66, 'Orenda');</v>
      </c>
    </row>
    <row r="152" spans="1:15" x14ac:dyDescent="0.3">
      <c r="A152" t="s">
        <v>56</v>
      </c>
      <c r="B152" t="s">
        <v>545</v>
      </c>
      <c r="C152" t="s">
        <v>834</v>
      </c>
      <c r="D152" s="2">
        <v>-625333.90999999992</v>
      </c>
      <c r="E152" s="2">
        <v>-616254.86</v>
      </c>
      <c r="F152" s="2">
        <v>-699235.1</v>
      </c>
      <c r="G152" s="2">
        <v>-677611.77999999991</v>
      </c>
      <c r="H152" s="2">
        <v>-692216.31999999995</v>
      </c>
      <c r="I152" s="2"/>
      <c r="J152" s="2">
        <v>-3310651.9699999997</v>
      </c>
      <c r="K152" t="str">
        <f t="shared" si="8"/>
        <v>insert into business_analytic.report.orenda values(2026, 1, '2021147400', 'СофБорщагівка,Фора-506 Житня,12', NULL, -625333.91, 'Orenda');</v>
      </c>
      <c r="L152" t="str">
        <f t="shared" si="8"/>
        <v>insert into business_analytic.report.orenda values(2026, 2, '2021147400', 'СофБорщагівка,Фора-506 Житня,12', NULL, -616254.86, 'Orenda');</v>
      </c>
      <c r="M152" t="str">
        <f t="shared" si="9"/>
        <v>insert into business_analytic.report.orenda values(2026, 3, '2021147400', 'СофБорщагівка,Фора-506 Житня,12', NULL, -699235.1, 'Orenda');</v>
      </c>
      <c r="N152" t="str">
        <f t="shared" si="10"/>
        <v>insert into business_analytic.report.orenda values(2026, 4, '2021147400', 'СофБорщагівка,Фора-506 Житня,12', NULL, -677611.78, 'Orenda');</v>
      </c>
      <c r="O152" t="str">
        <f t="shared" si="10"/>
        <v>insert into business_analytic.report.orenda values(2026, 5, '2021147400', 'СофБорщагівка,Фора-506 Житня,12', NULL, -692216.32, 'Orenda');</v>
      </c>
    </row>
    <row r="153" spans="1:15" x14ac:dyDescent="0.3">
      <c r="A153" t="s">
        <v>57</v>
      </c>
      <c r="B153" t="s">
        <v>546</v>
      </c>
      <c r="C153" t="s">
        <v>835</v>
      </c>
      <c r="D153" s="2">
        <v>-220000</v>
      </c>
      <c r="E153" s="2">
        <v>-225254.06999999998</v>
      </c>
      <c r="F153" s="2">
        <v>-236346</v>
      </c>
      <c r="G153" s="2">
        <v>-236346</v>
      </c>
      <c r="H153" s="2">
        <v>-236346</v>
      </c>
      <c r="I153" s="2"/>
      <c r="J153" s="2">
        <v>-1154292.0699999998</v>
      </c>
      <c r="K153" t="str">
        <f t="shared" si="8"/>
        <v>insert into business_analytic.report.orenda values(2026, 1, '2021147500', 'Київ,Фора-507 Князя Мономаха,31', NULL, -220000, 'Orenda');</v>
      </c>
      <c r="L153" t="str">
        <f t="shared" si="8"/>
        <v>insert into business_analytic.report.orenda values(2026, 2, '2021147500', 'Київ,Фора-507 Князя Мономаха,31', NULL, -225254.07, 'Orenda');</v>
      </c>
      <c r="M153" t="str">
        <f t="shared" si="9"/>
        <v>insert into business_analytic.report.orenda values(2026, 3, '2021147500', 'Київ,Фора-507 Князя Мономаха,31', NULL, -236346, 'Orenda');</v>
      </c>
      <c r="N153" t="str">
        <f t="shared" si="10"/>
        <v>insert into business_analytic.report.orenda values(2026, 4, '2021147500', 'Київ,Фора-507 Князя Мономаха,31', NULL, -236346, 'Orenda');</v>
      </c>
      <c r="O153" t="str">
        <f t="shared" si="10"/>
        <v>insert into business_analytic.report.orenda values(2026, 5, '2021147500', 'Київ,Фора-507 Князя Мономаха,31', NULL, -236346, 'Orenda');</v>
      </c>
    </row>
    <row r="154" spans="1:15" x14ac:dyDescent="0.3">
      <c r="A154" t="s">
        <v>205</v>
      </c>
      <c r="B154" t="s">
        <v>547</v>
      </c>
      <c r="C154" t="s">
        <v>836</v>
      </c>
      <c r="D154" s="2">
        <v>-263340</v>
      </c>
      <c r="E154" s="2">
        <v>-263340</v>
      </c>
      <c r="F154" s="2">
        <v>-263340</v>
      </c>
      <c r="G154" s="2">
        <v>-263340</v>
      </c>
      <c r="H154" s="2">
        <v>-263340</v>
      </c>
      <c r="I154" s="2"/>
      <c r="J154" s="2">
        <v>-1316700</v>
      </c>
      <c r="K154" t="str">
        <f t="shared" si="8"/>
        <v>insert into business_analytic.report.orenda values(2026, 1, '2021147800', 'Київ,Фора-521 Зодчих,62', NULL, -263340, 'Orenda');</v>
      </c>
      <c r="L154" t="str">
        <f t="shared" si="8"/>
        <v>insert into business_analytic.report.orenda values(2026, 2, '2021147800', 'Київ,Фора-521 Зодчих,62', NULL, -263340, 'Orenda');</v>
      </c>
      <c r="M154" t="str">
        <f t="shared" si="9"/>
        <v>insert into business_analytic.report.orenda values(2026, 3, '2021147800', 'Київ,Фора-521 Зодчих,62', NULL, -263340, 'Orenda');</v>
      </c>
      <c r="N154" t="str">
        <f t="shared" si="10"/>
        <v>insert into business_analytic.report.orenda values(2026, 4, '2021147800', 'Київ,Фора-521 Зодчих,62', NULL, -263340, 'Orenda');</v>
      </c>
      <c r="O154" t="str">
        <f t="shared" si="10"/>
        <v>insert into business_analytic.report.orenda values(2026, 5, '2021147800', 'Київ,Фора-521 Зодчих,62', NULL, -263340, 'Orenda');</v>
      </c>
    </row>
    <row r="155" spans="1:15" x14ac:dyDescent="0.3">
      <c r="A155" t="s">
        <v>206</v>
      </c>
      <c r="B155" t="s">
        <v>548</v>
      </c>
      <c r="C155" t="s">
        <v>428</v>
      </c>
      <c r="D155" s="2">
        <v>-150028.19999999998</v>
      </c>
      <c r="E155" s="2">
        <v>-150028.19999999998</v>
      </c>
      <c r="F155" s="2">
        <v>-150028.19999999998</v>
      </c>
      <c r="G155" s="2">
        <v>-157529.60999999999</v>
      </c>
      <c r="H155" s="2">
        <v>-157529.60999999999</v>
      </c>
      <c r="I155" s="2"/>
      <c r="J155" s="2">
        <v>-765143.81999999983</v>
      </c>
      <c r="K155" t="str">
        <f t="shared" si="8"/>
        <v>insert into business_analytic.report.orenda values(2026, 1, '2021147900', 'Київ,Фора-522 Миру,4', NULL, -150028.2, 'Orenda');</v>
      </c>
      <c r="L155" t="str">
        <f t="shared" si="8"/>
        <v>insert into business_analytic.report.orenda values(2026, 2, '2021147900', 'Київ,Фора-522 Миру,4', NULL, -150028.2, 'Orenda');</v>
      </c>
      <c r="M155" t="str">
        <f t="shared" si="9"/>
        <v>insert into business_analytic.report.orenda values(2026, 3, '2021147900', 'Київ,Фора-522 Миру,4', NULL, -150028.2, 'Orenda');</v>
      </c>
      <c r="N155" t="str">
        <f t="shared" si="10"/>
        <v>insert into business_analytic.report.orenda values(2026, 4, '2021147900', 'Київ,Фора-522 Миру,4', NULL, -157529.61, 'Orenda');</v>
      </c>
      <c r="O155" t="str">
        <f t="shared" si="10"/>
        <v>insert into business_analytic.report.orenda values(2026, 5, '2021147900', 'Київ,Фора-522 Миру,4', NULL, -157529.61, 'Orenda');</v>
      </c>
    </row>
    <row r="156" spans="1:15" x14ac:dyDescent="0.3">
      <c r="A156" t="s">
        <v>59</v>
      </c>
      <c r="B156" t="s">
        <v>550</v>
      </c>
      <c r="C156" t="s">
        <v>837</v>
      </c>
      <c r="D156" s="2">
        <v>-550000</v>
      </c>
      <c r="E156" s="2">
        <v>-550000</v>
      </c>
      <c r="F156" s="2">
        <v>-550000</v>
      </c>
      <c r="G156" s="2">
        <v>-550000</v>
      </c>
      <c r="H156" s="2">
        <v>-590793.6</v>
      </c>
      <c r="I156" s="2"/>
      <c r="J156" s="2">
        <v>-2790793.6</v>
      </c>
      <c r="K156" t="str">
        <f t="shared" si="8"/>
        <v>insert into business_analytic.report.orenda values(2026, 1, '2021148200', 'Київ,Фора-527 Маланюка Євгена,101', NULL, -550000, 'Orenda');</v>
      </c>
      <c r="L156" t="str">
        <f t="shared" si="8"/>
        <v>insert into business_analytic.report.orenda values(2026, 2, '2021148200', 'Київ,Фора-527 Маланюка Євгена,101', NULL, -550000, 'Orenda');</v>
      </c>
      <c r="M156" t="str">
        <f t="shared" si="9"/>
        <v>insert into business_analytic.report.orenda values(2026, 3, '2021148200', 'Київ,Фора-527 Маланюка Євгена,101', NULL, -550000, 'Orenda');</v>
      </c>
      <c r="N156" t="str">
        <f t="shared" si="10"/>
        <v>insert into business_analytic.report.orenda values(2026, 4, '2021148200', 'Київ,Фора-527 Маланюка Євгена,101', NULL, -550000, 'Orenda');</v>
      </c>
      <c r="O156" t="str">
        <f t="shared" si="10"/>
        <v>insert into business_analytic.report.orenda values(2026, 5, '2021148200', 'Київ,Фора-527 Маланюка Євгена,101', NULL, -590793.6, 'Orenda');</v>
      </c>
    </row>
    <row r="157" spans="1:15" x14ac:dyDescent="0.3">
      <c r="A157" t="s">
        <v>207</v>
      </c>
      <c r="B157" t="s">
        <v>551</v>
      </c>
      <c r="C157" t="s">
        <v>838</v>
      </c>
      <c r="D157" s="2">
        <v>-315000</v>
      </c>
      <c r="E157" s="2">
        <v>-346500</v>
      </c>
      <c r="F157" s="2">
        <v>-346499.98</v>
      </c>
      <c r="G157" s="2">
        <v>-346499.98</v>
      </c>
      <c r="H157" s="2">
        <v>-346499.98</v>
      </c>
      <c r="I157" s="2"/>
      <c r="J157" s="2">
        <v>-1700999.94</v>
      </c>
      <c r="K157" t="str">
        <f t="shared" si="8"/>
        <v>insert into business_analytic.report.orenda values(2026, 1, '2021148600', 'Київ,Фора-532 Олени Теліги,31/1', NULL, -315000, 'Orenda');</v>
      </c>
      <c r="L157" t="str">
        <f t="shared" si="8"/>
        <v>insert into business_analytic.report.orenda values(2026, 2, '2021148600', 'Київ,Фора-532 Олени Теліги,31/1', NULL, -346500, 'Orenda');</v>
      </c>
      <c r="M157" t="str">
        <f t="shared" si="9"/>
        <v>insert into business_analytic.report.orenda values(2026, 3, '2021148600', 'Київ,Фора-532 Олени Теліги,31/1', NULL, -346499.98, 'Orenda');</v>
      </c>
      <c r="N157" t="str">
        <f t="shared" si="10"/>
        <v>insert into business_analytic.report.orenda values(2026, 4, '2021148600', 'Київ,Фора-532 Олени Теліги,31/1', NULL, -346499.98, 'Orenda');</v>
      </c>
      <c r="O157" t="str">
        <f t="shared" si="10"/>
        <v>insert into business_analytic.report.orenda values(2026, 5, '2021148600', 'Київ,Фора-532 Олени Теліги,31/1', NULL, -346499.98, 'Orenda');</v>
      </c>
    </row>
    <row r="158" spans="1:15" x14ac:dyDescent="0.3">
      <c r="A158" t="s">
        <v>208</v>
      </c>
      <c r="B158" t="s">
        <v>552</v>
      </c>
      <c r="C158" t="s">
        <v>839</v>
      </c>
      <c r="D158" s="2">
        <v>-245272.5</v>
      </c>
      <c r="E158" s="2">
        <v>-245272.5</v>
      </c>
      <c r="F158" s="2">
        <v>-245272.5</v>
      </c>
      <c r="G158" s="2">
        <v>-245272.5</v>
      </c>
      <c r="H158" s="2">
        <v>-245272.5</v>
      </c>
      <c r="I158" s="2"/>
      <c r="J158" s="2">
        <v>-1226362.5</v>
      </c>
      <c r="K158" t="str">
        <f t="shared" si="8"/>
        <v>insert into business_analytic.report.orenda values(2026, 1, '2021148700', 'Київ,Фора-533 Преображенська,7', NULL, -245272.5, 'Orenda');</v>
      </c>
      <c r="L158" t="str">
        <f t="shared" si="8"/>
        <v>insert into business_analytic.report.orenda values(2026, 2, '2021148700', 'Київ,Фора-533 Преображенська,7', NULL, -245272.5, 'Orenda');</v>
      </c>
      <c r="M158" t="str">
        <f t="shared" si="9"/>
        <v>insert into business_analytic.report.orenda values(2026, 3, '2021148700', 'Київ,Фора-533 Преображенська,7', NULL, -245272.5, 'Orenda');</v>
      </c>
      <c r="N158" t="str">
        <f t="shared" si="10"/>
        <v>insert into business_analytic.report.orenda values(2026, 4, '2021148700', 'Київ,Фора-533 Преображенська,7', NULL, -245272.5, 'Orenda');</v>
      </c>
      <c r="O158" t="str">
        <f t="shared" si="10"/>
        <v>insert into business_analytic.report.orenda values(2026, 5, '2021148700', 'Київ,Фора-533 Преображенська,7', NULL, -245272.5, 'Orenda');</v>
      </c>
    </row>
    <row r="159" spans="1:15" x14ac:dyDescent="0.3">
      <c r="A159" t="s">
        <v>60</v>
      </c>
      <c r="B159" t="s">
        <v>553</v>
      </c>
      <c r="C159" t="s">
        <v>840</v>
      </c>
      <c r="D159" s="2">
        <v>-354554.57</v>
      </c>
      <c r="E159" s="2">
        <v>-348019</v>
      </c>
      <c r="F159" s="2">
        <v>-756770.45</v>
      </c>
      <c r="G159" s="2">
        <v>-746052.01</v>
      </c>
      <c r="H159" s="2">
        <v>-809080</v>
      </c>
      <c r="I159" s="2">
        <v>-51418.11</v>
      </c>
      <c r="J159" s="2">
        <v>-3065894.14</v>
      </c>
      <c r="K159" t="str">
        <f t="shared" si="8"/>
        <v>insert into business_analytic.report.orenda values(2026, 1, '2021148800', 'Київ,Фора-577 Єфремова,23', NULL, -354554.57, 'Orenda');</v>
      </c>
      <c r="L159" t="str">
        <f t="shared" si="8"/>
        <v>insert into business_analytic.report.orenda values(2026, 2, '2021148800', 'Київ,Фора-577 Єфремова,23', NULL, -348019, 'Orenda');</v>
      </c>
      <c r="M159" t="str">
        <f t="shared" si="9"/>
        <v>insert into business_analytic.report.orenda values(2026, 3, '2021148800', 'Київ,Фора-577 Єфремова,23', NULL, -756770.45, 'Orenda');</v>
      </c>
      <c r="N159" t="str">
        <f t="shared" si="10"/>
        <v>insert into business_analytic.report.orenda values(2026, 4, '2021148800', 'Київ,Фора-577 Єфремова,23', NULL, -746052.01, 'Orenda');</v>
      </c>
      <c r="O159" t="str">
        <f t="shared" si="10"/>
        <v>insert into business_analytic.report.orenda values(2026, 5, '2021148800', 'Київ,Фора-577 Єфремова,23', NULL, -809080, 'Orenda');</v>
      </c>
    </row>
    <row r="160" spans="1:15" x14ac:dyDescent="0.3">
      <c r="A160" t="s">
        <v>61</v>
      </c>
      <c r="B160" t="s">
        <v>554</v>
      </c>
      <c r="C160" t="s">
        <v>841</v>
      </c>
      <c r="D160" s="2">
        <v>-660709.91999999993</v>
      </c>
      <c r="E160" s="2">
        <v>-568168.46</v>
      </c>
      <c r="F160" s="2">
        <v>-572939.40999999992</v>
      </c>
      <c r="G160" s="2">
        <v>-582346.04999999993</v>
      </c>
      <c r="H160" s="2">
        <v>-685822.79999999993</v>
      </c>
      <c r="I160" s="2"/>
      <c r="J160" s="2">
        <v>-3069986.6399999997</v>
      </c>
      <c r="K160" t="str">
        <f t="shared" si="8"/>
        <v>insert into business_analytic.report.orenda values(2026, 1, '2021148900', 'Київ,Фора-540 Столичне шосе,1 П-10', NULL, -660709.92, 'Orenda');</v>
      </c>
      <c r="L160" t="str">
        <f t="shared" si="8"/>
        <v>insert into business_analytic.report.orenda values(2026, 2, '2021148900', 'Київ,Фора-540 Столичне шосе,1 П-10', NULL, -568168.46, 'Orenda');</v>
      </c>
      <c r="M160" t="str">
        <f t="shared" si="9"/>
        <v>insert into business_analytic.report.orenda values(2026, 3, '2021148900', 'Київ,Фора-540 Столичне шосе,1 П-10', NULL, -572939.41, 'Orenda');</v>
      </c>
      <c r="N160" t="str">
        <f t="shared" si="10"/>
        <v>insert into business_analytic.report.orenda values(2026, 4, '2021148900', 'Київ,Фора-540 Столичне шосе,1 П-10', NULL, -582346.05, 'Orenda');</v>
      </c>
      <c r="O160" t="str">
        <f t="shared" si="10"/>
        <v>insert into business_analytic.report.orenda values(2026, 5, '2021148900', 'Київ,Фора-540 Столичне шосе,1 П-10', NULL, -685822.8, 'Orenda');</v>
      </c>
    </row>
    <row r="161" spans="1:15" x14ac:dyDescent="0.3">
      <c r="A161" t="s">
        <v>62</v>
      </c>
      <c r="B161" t="s">
        <v>555</v>
      </c>
      <c r="C161" t="s">
        <v>842</v>
      </c>
      <c r="D161" s="2">
        <v>-363570.54</v>
      </c>
      <c r="E161" s="2">
        <v>-556246.16999999993</v>
      </c>
      <c r="F161" s="2">
        <v>-727141.08</v>
      </c>
      <c r="G161" s="2">
        <v>-727141.08</v>
      </c>
      <c r="H161" s="2">
        <v>-727141.08</v>
      </c>
      <c r="I161" s="2"/>
      <c r="J161" s="2">
        <v>-3101239.95</v>
      </c>
      <c r="K161" t="str">
        <f t="shared" si="8"/>
        <v>insert into business_analytic.report.orenda values(2026, 1, '2021149000', 'Київ,Фора-567 Дмитрівська,96/98', NULL, -363570.54, 'Orenda');</v>
      </c>
      <c r="L161" t="str">
        <f t="shared" si="8"/>
        <v>insert into business_analytic.report.orenda values(2026, 2, '2021149000', 'Київ,Фора-567 Дмитрівська,96/98', NULL, -556246.17, 'Orenda');</v>
      </c>
      <c r="M161" t="str">
        <f t="shared" si="9"/>
        <v>insert into business_analytic.report.orenda values(2026, 3, '2021149000', 'Київ,Фора-567 Дмитрівська,96/98', NULL, -727141.08, 'Orenda');</v>
      </c>
      <c r="N161" t="str">
        <f t="shared" si="10"/>
        <v>insert into business_analytic.report.orenda values(2026, 4, '2021149000', 'Київ,Фора-567 Дмитрівська,96/98', NULL, -727141.08, 'Orenda');</v>
      </c>
      <c r="O161" t="str">
        <f t="shared" si="10"/>
        <v>insert into business_analytic.report.orenda values(2026, 5, '2021149000', 'Київ,Фора-567 Дмитрівська,96/98', NULL, -727141.08, 'Orenda');</v>
      </c>
    </row>
    <row r="162" spans="1:15" x14ac:dyDescent="0.3">
      <c r="A162" t="s">
        <v>209</v>
      </c>
      <c r="B162" t="s">
        <v>556</v>
      </c>
      <c r="C162" t="s">
        <v>843</v>
      </c>
      <c r="D162" s="2">
        <v>-420000</v>
      </c>
      <c r="E162" s="2">
        <v>-420000</v>
      </c>
      <c r="F162" s="2">
        <v>-420000</v>
      </c>
      <c r="G162" s="2">
        <v>-420000</v>
      </c>
      <c r="H162" s="2">
        <v>-420000</v>
      </c>
      <c r="I162" s="2">
        <v>-300000</v>
      </c>
      <c r="J162" s="2">
        <v>-2400000</v>
      </c>
      <c r="K162" t="str">
        <f t="shared" si="8"/>
        <v>insert into business_analytic.report.orenda values(2026, 1, '2021149100', 'Київ,Фора-558 Вірського,37', NULL, -420000, 'Orenda');</v>
      </c>
      <c r="L162" t="str">
        <f t="shared" si="8"/>
        <v>insert into business_analytic.report.orenda values(2026, 2, '2021149100', 'Київ,Фора-558 Вірського,37', NULL, -420000, 'Orenda');</v>
      </c>
      <c r="M162" t="str">
        <f t="shared" si="9"/>
        <v>insert into business_analytic.report.orenda values(2026, 3, '2021149100', 'Київ,Фора-558 Вірського,37', NULL, -420000, 'Orenda');</v>
      </c>
      <c r="N162" t="str">
        <f t="shared" si="10"/>
        <v>insert into business_analytic.report.orenda values(2026, 4, '2021149100', 'Київ,Фора-558 Вірського,37', NULL, -420000, 'Orenda');</v>
      </c>
      <c r="O162" t="str">
        <f t="shared" si="10"/>
        <v>insert into business_analytic.report.orenda values(2026, 5, '2021149100', 'Київ,Фора-558 Вірського,37', NULL, -420000, 'Orenda');</v>
      </c>
    </row>
    <row r="163" spans="1:15" x14ac:dyDescent="0.3">
      <c r="A163" t="s">
        <v>63</v>
      </c>
      <c r="B163" t="s">
        <v>557</v>
      </c>
      <c r="C163" t="s">
        <v>844</v>
      </c>
      <c r="D163" s="2">
        <v>-666666.65</v>
      </c>
      <c r="E163" s="2">
        <v>-666666.66999999993</v>
      </c>
      <c r="F163" s="2">
        <v>-733333.33</v>
      </c>
      <c r="G163" s="2">
        <v>-733333.33</v>
      </c>
      <c r="H163" s="2">
        <v>-733333.33</v>
      </c>
      <c r="I163" s="2"/>
      <c r="J163" s="2">
        <v>-3533333.31</v>
      </c>
      <c r="K163" t="str">
        <f t="shared" si="8"/>
        <v>insert into business_analytic.report.orenda values(2026, 1, '2021149200', 'Київ,Фора-543 Ревуцького,52', NULL, -666666.65, 'Orenda');</v>
      </c>
      <c r="L163" t="str">
        <f t="shared" si="8"/>
        <v>insert into business_analytic.report.orenda values(2026, 2, '2021149200', 'Київ,Фора-543 Ревуцького,52', NULL, -666666.67, 'Orenda');</v>
      </c>
      <c r="M163" t="str">
        <f t="shared" si="9"/>
        <v>insert into business_analytic.report.orenda values(2026, 3, '2021149200', 'Київ,Фора-543 Ревуцького,52', NULL, -733333.33, 'Orenda');</v>
      </c>
      <c r="N163" t="str">
        <f t="shared" si="10"/>
        <v>insert into business_analytic.report.orenda values(2026, 4, '2021149200', 'Київ,Фора-543 Ревуцького,52', NULL, -733333.33, 'Orenda');</v>
      </c>
      <c r="O163" t="str">
        <f t="shared" si="10"/>
        <v>insert into business_analytic.report.orenda values(2026, 5, '2021149200', 'Київ,Фора-543 Ревуцького,52', NULL, -733333.33, 'Orenda');</v>
      </c>
    </row>
    <row r="164" spans="1:15" x14ac:dyDescent="0.3">
      <c r="A164" t="s">
        <v>64</v>
      </c>
      <c r="B164" t="s">
        <v>558</v>
      </c>
      <c r="C164" t="s">
        <v>845</v>
      </c>
      <c r="D164" s="2">
        <v>-453503.25</v>
      </c>
      <c r="E164" s="2">
        <v>-454525.94999999995</v>
      </c>
      <c r="F164" s="2">
        <v>-510999.63</v>
      </c>
      <c r="G164" s="2">
        <v>-570216.15</v>
      </c>
      <c r="H164" s="2">
        <v>-623291.40999999992</v>
      </c>
      <c r="I164" s="2"/>
      <c r="J164" s="2">
        <v>-2612536.3899999997</v>
      </c>
      <c r="K164" t="str">
        <f t="shared" si="8"/>
        <v>insert into business_analytic.report.orenda values(2026, 1, '2021149300', 'Ірпінь,Фора-544 Котляревського,56', NULL, -453503.25, 'Orenda');</v>
      </c>
      <c r="L164" t="str">
        <f t="shared" si="8"/>
        <v>insert into business_analytic.report.orenda values(2026, 2, '2021149300', 'Ірпінь,Фора-544 Котляревського,56', NULL, -454525.95, 'Orenda');</v>
      </c>
      <c r="M164" t="str">
        <f t="shared" si="9"/>
        <v>insert into business_analytic.report.orenda values(2026, 3, '2021149300', 'Ірпінь,Фора-544 Котляревського,56', NULL, -510999.63, 'Orenda');</v>
      </c>
      <c r="N164" t="str">
        <f t="shared" si="10"/>
        <v>insert into business_analytic.report.orenda values(2026, 4, '2021149300', 'Ірпінь,Фора-544 Котляревського,56', NULL, -570216.15, 'Orenda');</v>
      </c>
      <c r="O164" t="str">
        <f t="shared" si="10"/>
        <v>insert into business_analytic.report.orenda values(2026, 5, '2021149300', 'Ірпінь,Фора-544 Котляревського,56', NULL, -623291.41, 'Orenda');</v>
      </c>
    </row>
    <row r="165" spans="1:15" x14ac:dyDescent="0.3">
      <c r="A165" t="s">
        <v>65</v>
      </c>
      <c r="B165" t="s">
        <v>559</v>
      </c>
      <c r="C165" t="s">
        <v>846</v>
      </c>
      <c r="D165" s="2">
        <v>-211035.75999999998</v>
      </c>
      <c r="E165" s="2">
        <v>-332130.18</v>
      </c>
      <c r="F165" s="2">
        <v>-355043</v>
      </c>
      <c r="G165" s="2">
        <v>-378747.22</v>
      </c>
      <c r="H165" s="2">
        <v>-404946.19</v>
      </c>
      <c r="I165" s="2"/>
      <c r="J165" s="2">
        <v>-1681902.35</v>
      </c>
      <c r="K165" t="str">
        <f t="shared" si="8"/>
        <v>insert into business_analytic.report.orenda values(2026, 1, '2021149400', 'Рокитне,Фора-564 Вокзальна,68Б', NULL, -211035.76, 'Orenda');</v>
      </c>
      <c r="L165" t="str">
        <f t="shared" si="8"/>
        <v>insert into business_analytic.report.orenda values(2026, 2, '2021149400', 'Рокитне,Фора-564 Вокзальна,68Б', NULL, -332130.18, 'Orenda');</v>
      </c>
      <c r="M165" t="str">
        <f t="shared" si="9"/>
        <v>insert into business_analytic.report.orenda values(2026, 3, '2021149400', 'Рокитне,Фора-564 Вокзальна,68Б', NULL, -355043, 'Orenda');</v>
      </c>
      <c r="N165" t="str">
        <f t="shared" si="10"/>
        <v>insert into business_analytic.report.orenda values(2026, 4, '2021149400', 'Рокитне,Фора-564 Вокзальна,68Б', NULL, -378747.22, 'Orenda');</v>
      </c>
      <c r="O165" t="str">
        <f t="shared" si="10"/>
        <v>insert into business_analytic.report.orenda values(2026, 5, '2021149400', 'Рокитне,Фора-564 Вокзальна,68Б', NULL, -404946.19, 'Orenda');</v>
      </c>
    </row>
    <row r="166" spans="1:15" x14ac:dyDescent="0.3">
      <c r="A166" t="s">
        <v>66</v>
      </c>
      <c r="B166" t="s">
        <v>560</v>
      </c>
      <c r="C166" t="s">
        <v>837</v>
      </c>
      <c r="D166" s="2">
        <v>-231833.33</v>
      </c>
      <c r="E166" s="2">
        <v>-231833.33</v>
      </c>
      <c r="F166" s="2">
        <v>-240818.56</v>
      </c>
      <c r="G166" s="2">
        <v>-238019.31</v>
      </c>
      <c r="H166" s="2">
        <v>-255642.46</v>
      </c>
      <c r="I166" s="2">
        <v>-12597.949999999999</v>
      </c>
      <c r="J166" s="2">
        <v>-1210744.94</v>
      </c>
      <c r="K166" t="str">
        <f t="shared" si="8"/>
        <v>insert into business_analytic.report.orenda values(2026, 1, '2021149500', 'Житомир,Фора-536 Київська,106', NULL, -231833.33, 'Orenda');</v>
      </c>
      <c r="L166" t="str">
        <f t="shared" si="8"/>
        <v>insert into business_analytic.report.orenda values(2026, 2, '2021149500', 'Житомир,Фора-536 Київська,106', NULL, -231833.33, 'Orenda');</v>
      </c>
      <c r="M166" t="str">
        <f t="shared" si="9"/>
        <v>insert into business_analytic.report.orenda values(2026, 3, '2021149500', 'Житомир,Фора-536 Київська,106', NULL, -240818.56, 'Orenda');</v>
      </c>
      <c r="N166" t="str">
        <f t="shared" si="10"/>
        <v>insert into business_analytic.report.orenda values(2026, 4, '2021149500', 'Житомир,Фора-536 Київська,106', NULL, -238019.31, 'Orenda');</v>
      </c>
      <c r="O166" t="str">
        <f t="shared" si="10"/>
        <v>insert into business_analytic.report.orenda values(2026, 5, '2021149500', 'Житомир,Фора-536 Київська,106', NULL, -255642.46, 'Orenda');</v>
      </c>
    </row>
    <row r="167" spans="1:15" s="3" customFormat="1" x14ac:dyDescent="0.3">
      <c r="A167" t="s">
        <v>210</v>
      </c>
      <c r="B167" t="s">
        <v>561</v>
      </c>
      <c r="C167" t="s">
        <v>847</v>
      </c>
      <c r="D167" s="2">
        <v>-200000</v>
      </c>
      <c r="E167" s="2">
        <v>-160000</v>
      </c>
      <c r="F167" s="2">
        <v>-200000</v>
      </c>
      <c r="G167" s="2">
        <v>-200000</v>
      </c>
      <c r="H167" s="2">
        <v>-200000</v>
      </c>
      <c r="I167" s="2"/>
      <c r="J167" s="2">
        <v>-960000</v>
      </c>
      <c r="K167" t="str">
        <f t="shared" si="8"/>
        <v>insert into business_analytic.report.orenda values(2026, 1, '2021150100', 'Київ,Фора-548 Райдужна,67', NULL, -200000, 'Orenda');</v>
      </c>
      <c r="L167" t="str">
        <f t="shared" si="8"/>
        <v>insert into business_analytic.report.orenda values(2026, 2, '2021150100', 'Київ,Фора-548 Райдужна,67', NULL, -160000, 'Orenda');</v>
      </c>
      <c r="M167" t="str">
        <f t="shared" si="9"/>
        <v>insert into business_analytic.report.orenda values(2026, 3, '2021150100', 'Київ,Фора-548 Райдужна,67', NULL, -200000, 'Orenda');</v>
      </c>
      <c r="N167" t="str">
        <f t="shared" si="10"/>
        <v>insert into business_analytic.report.orenda values(2026, 4, '2021150100', 'Київ,Фора-548 Райдужна,67', NULL, -200000, 'Orenda');</v>
      </c>
      <c r="O167" t="str">
        <f t="shared" si="10"/>
        <v>insert into business_analytic.report.orenda values(2026, 5, '2021150100', 'Київ,Фора-548 Райдужна,67', NULL, -200000, 'Orenda');</v>
      </c>
    </row>
    <row r="168" spans="1:15" x14ac:dyDescent="0.3">
      <c r="A168" t="s">
        <v>67</v>
      </c>
      <c r="B168" t="s">
        <v>562</v>
      </c>
      <c r="C168" t="s">
        <v>848</v>
      </c>
      <c r="D168" s="2">
        <v>-50</v>
      </c>
      <c r="E168" s="2">
        <v>-50</v>
      </c>
      <c r="F168" s="2">
        <v>-50</v>
      </c>
      <c r="G168" s="2">
        <v>-270250.53999999998</v>
      </c>
      <c r="H168" s="2">
        <v>-368880.31</v>
      </c>
      <c r="I168" s="2">
        <v>-24040.219999999998</v>
      </c>
      <c r="J168" s="2">
        <v>-663321.06999999995</v>
      </c>
      <c r="K168" t="str">
        <f t="shared" si="8"/>
        <v>insert into business_analytic.report.orenda values(2026, 1, '2021150500', 'Київ,Фора-574 Чибінєєвих Братів,8А', NULL, -50, 'Orenda');</v>
      </c>
      <c r="L168" t="str">
        <f t="shared" si="8"/>
        <v>insert into business_analytic.report.orenda values(2026, 2, '2021150500', 'Київ,Фора-574 Чибінєєвих Братів,8А', NULL, -50, 'Orenda');</v>
      </c>
      <c r="M168" t="str">
        <f t="shared" si="9"/>
        <v>insert into business_analytic.report.orenda values(2026, 3, '2021150500', 'Київ,Фора-574 Чибінєєвих Братів,8А', NULL, -50, 'Orenda');</v>
      </c>
      <c r="N168" t="str">
        <f t="shared" si="10"/>
        <v>insert into business_analytic.report.orenda values(2026, 4, '2021150500', 'Київ,Фора-574 Чибінєєвих Братів,8А', NULL, -270250.54, 'Orenda');</v>
      </c>
      <c r="O168" t="str">
        <f t="shared" si="10"/>
        <v>insert into business_analytic.report.orenda values(2026, 5, '2021150500', 'Київ,Фора-574 Чибінєєвих Братів,8А', NULL, -368880.31, 'Orenda');</v>
      </c>
    </row>
    <row r="169" spans="1:15" x14ac:dyDescent="0.3">
      <c r="A169" t="s">
        <v>215</v>
      </c>
      <c r="B169" t="s">
        <v>564</v>
      </c>
      <c r="C169" t="s">
        <v>724</v>
      </c>
      <c r="D169" s="2">
        <v>-167354</v>
      </c>
      <c r="E169" s="2">
        <v>-167354</v>
      </c>
      <c r="F169" s="2">
        <v>-167354</v>
      </c>
      <c r="G169" s="2">
        <v>-167354</v>
      </c>
      <c r="H169" s="2">
        <v>-167354</v>
      </c>
      <c r="I169" s="2"/>
      <c r="J169" s="2">
        <v>-836770</v>
      </c>
      <c r="K169" t="str">
        <f t="shared" si="8"/>
        <v>insert into business_analytic.report.orenda values(2026, 1, '2021200600', 'Бердичів,Фора-110 Вінницька,18', NULL, -167354, 'Orenda');</v>
      </c>
      <c r="L169" t="str">
        <f t="shared" si="8"/>
        <v>insert into business_analytic.report.orenda values(2026, 2, '2021200600', 'Бердичів,Фора-110 Вінницька,18', NULL, -167354, 'Orenda');</v>
      </c>
      <c r="M169" t="str">
        <f t="shared" si="9"/>
        <v>insert into business_analytic.report.orenda values(2026, 3, '2021200600', 'Бердичів,Фора-110 Вінницька,18', NULL, -167354, 'Orenda');</v>
      </c>
      <c r="N169" t="str">
        <f t="shared" si="10"/>
        <v>insert into business_analytic.report.orenda values(2026, 4, '2021200600', 'Бердичів,Фора-110 Вінницька,18', NULL, -167354, 'Orenda');</v>
      </c>
      <c r="O169" t="str">
        <f t="shared" si="10"/>
        <v>insert into business_analytic.report.orenda values(2026, 5, '2021200600', 'Бердичів,Фора-110 Вінницька,18', NULL, -167354, 'Orenda');</v>
      </c>
    </row>
    <row r="170" spans="1:15" x14ac:dyDescent="0.3">
      <c r="A170" t="s">
        <v>216</v>
      </c>
      <c r="B170" t="s">
        <v>565</v>
      </c>
      <c r="C170" t="s">
        <v>724</v>
      </c>
      <c r="D170" s="2">
        <v>-149676</v>
      </c>
      <c r="E170" s="2">
        <v>-149676</v>
      </c>
      <c r="F170" s="2">
        <v>-149676</v>
      </c>
      <c r="G170" s="2">
        <v>-149676</v>
      </c>
      <c r="H170" s="2">
        <v>-162548</v>
      </c>
      <c r="I170" s="2"/>
      <c r="J170" s="2">
        <v>-761252</v>
      </c>
      <c r="K170" t="str">
        <f t="shared" si="8"/>
        <v>insert into business_analytic.report.orenda values(2026, 1, '2021200700', 'Коростень,Фора-135 Грушевського,34', NULL, -149676, 'Orenda');</v>
      </c>
      <c r="L170" t="str">
        <f t="shared" si="8"/>
        <v>insert into business_analytic.report.orenda values(2026, 2, '2021200700', 'Коростень,Фора-135 Грушевського,34', NULL, -149676, 'Orenda');</v>
      </c>
      <c r="M170" t="str">
        <f t="shared" si="9"/>
        <v>insert into business_analytic.report.orenda values(2026, 3, '2021200700', 'Коростень,Фора-135 Грушевського,34', NULL, -149676, 'Orenda');</v>
      </c>
      <c r="N170" t="str">
        <f t="shared" si="10"/>
        <v>insert into business_analytic.report.orenda values(2026, 4, '2021200700', 'Коростень,Фора-135 Грушевського,34', NULL, -149676, 'Orenda');</v>
      </c>
      <c r="O170" t="str">
        <f t="shared" si="10"/>
        <v>insert into business_analytic.report.orenda values(2026, 5, '2021200700', 'Коростень,Фора-135 Грушевського,34', NULL, -162548, 'Orenda');</v>
      </c>
    </row>
    <row r="171" spans="1:15" x14ac:dyDescent="0.3">
      <c r="A171" t="s">
        <v>217</v>
      </c>
      <c r="B171" t="s">
        <v>566</v>
      </c>
      <c r="C171" t="s">
        <v>849</v>
      </c>
      <c r="D171" s="2">
        <v>-124980.9</v>
      </c>
      <c r="E171" s="2">
        <v>-124980.9</v>
      </c>
      <c r="F171" s="2">
        <v>-124980.9</v>
      </c>
      <c r="G171" s="2">
        <v>-124980.9</v>
      </c>
      <c r="H171" s="2">
        <v>-124980.9</v>
      </c>
      <c r="I171" s="2">
        <v>-1518</v>
      </c>
      <c r="J171" s="2">
        <v>-626422.5</v>
      </c>
      <c r="K171" t="str">
        <f t="shared" si="8"/>
        <v>insert into business_analytic.report.orenda values(2026, 1, '2021200800', 'Бердичів,Фора-142 Привокзальна,1А', NULL, -124980.9, 'Orenda');</v>
      </c>
      <c r="L171" t="str">
        <f t="shared" si="8"/>
        <v>insert into business_analytic.report.orenda values(2026, 2, '2021200800', 'Бердичів,Фора-142 Привокзальна,1А', NULL, -124980.9, 'Orenda');</v>
      </c>
      <c r="M171" t="str">
        <f t="shared" si="9"/>
        <v>insert into business_analytic.report.orenda values(2026, 3, '2021200800', 'Бердичів,Фора-142 Привокзальна,1А', NULL, -124980.9, 'Orenda');</v>
      </c>
      <c r="N171" t="str">
        <f t="shared" si="10"/>
        <v>insert into business_analytic.report.orenda values(2026, 4, '2021200800', 'Бердичів,Фора-142 Привокзальна,1А', NULL, -124980.9, 'Orenda');</v>
      </c>
      <c r="O171" t="str">
        <f t="shared" si="10"/>
        <v>insert into business_analytic.report.orenda values(2026, 5, '2021200800', 'Бердичів,Фора-142 Привокзальна,1А', NULL, -124980.9, 'Orenda');</v>
      </c>
    </row>
    <row r="172" spans="1:15" x14ac:dyDescent="0.3">
      <c r="A172" t="s">
        <v>218</v>
      </c>
      <c r="B172" t="s">
        <v>567</v>
      </c>
      <c r="C172" t="s">
        <v>850</v>
      </c>
      <c r="D172" s="2">
        <v>-522508</v>
      </c>
      <c r="E172" s="2">
        <v>-564308.16</v>
      </c>
      <c r="F172" s="2">
        <v>-564308.16</v>
      </c>
      <c r="G172" s="2">
        <v>-564308.16</v>
      </c>
      <c r="H172" s="2">
        <v>-564308.16</v>
      </c>
      <c r="I172" s="2"/>
      <c r="J172" s="2">
        <v>-2779740.64</v>
      </c>
      <c r="K172" t="str">
        <f t="shared" si="8"/>
        <v>insert into business_analytic.report.orenda values(2026, 1, '2021200900', 'Звягель,Фора-159 Київська,6', NULL, -522508, 'Orenda');</v>
      </c>
      <c r="L172" t="str">
        <f t="shared" si="8"/>
        <v>insert into business_analytic.report.orenda values(2026, 2, '2021200900', 'Звягель,Фора-159 Київська,6', NULL, -564308.16, 'Orenda');</v>
      </c>
      <c r="M172" t="str">
        <f t="shared" si="9"/>
        <v>insert into business_analytic.report.orenda values(2026, 3, '2021200900', 'Звягель,Фора-159 Київська,6', NULL, -564308.16, 'Orenda');</v>
      </c>
      <c r="N172" t="str">
        <f t="shared" si="10"/>
        <v>insert into business_analytic.report.orenda values(2026, 4, '2021200900', 'Звягель,Фора-159 Київська,6', NULL, -564308.16, 'Orenda');</v>
      </c>
      <c r="O172" t="str">
        <f t="shared" si="10"/>
        <v>insert into business_analytic.report.orenda values(2026, 5, '2021200900', 'Звягель,Фора-159 Київська,6', NULL, -564308.16, 'Orenda');</v>
      </c>
    </row>
    <row r="173" spans="1:15" x14ac:dyDescent="0.3">
      <c r="A173" t="s">
        <v>219</v>
      </c>
      <c r="B173" t="s">
        <v>568</v>
      </c>
      <c r="C173" t="s">
        <v>851</v>
      </c>
      <c r="D173" s="2">
        <v>-26339.43</v>
      </c>
      <c r="E173" s="2">
        <v>-26602.809999999998</v>
      </c>
      <c r="F173" s="2">
        <v>-27055.05</v>
      </c>
      <c r="G173" s="2">
        <v>-27433.829999999998</v>
      </c>
      <c r="H173" s="2">
        <v>-27680.719999999998</v>
      </c>
      <c r="I173" s="2"/>
      <c r="J173" s="2">
        <v>-135111.84</v>
      </c>
      <c r="K173" t="str">
        <f t="shared" si="8"/>
        <v>insert into business_analytic.report.orenda values(2026, 1, '2021201000', 'Звягель,Фора-160 Герасимчука,1', NULL, -26339.43, 'Orenda');</v>
      </c>
      <c r="L173" t="str">
        <f t="shared" si="8"/>
        <v>insert into business_analytic.report.orenda values(2026, 2, '2021201000', 'Звягель,Фора-160 Герасимчука,1', NULL, -26602.81, 'Orenda');</v>
      </c>
      <c r="M173" t="str">
        <f t="shared" si="9"/>
        <v>insert into business_analytic.report.orenda values(2026, 3, '2021201000', 'Звягель,Фора-160 Герасимчука,1', NULL, -27055.05, 'Orenda');</v>
      </c>
      <c r="N173" t="str">
        <f t="shared" si="10"/>
        <v>insert into business_analytic.report.orenda values(2026, 4, '2021201000', 'Звягель,Фора-160 Герасимчука,1', NULL, -27433.83, 'Orenda');</v>
      </c>
      <c r="O173" t="str">
        <f t="shared" si="10"/>
        <v>insert into business_analytic.report.orenda values(2026, 5, '2021201000', 'Звягель,Фора-160 Герасимчука,1', NULL, -27680.72, 'Orenda');</v>
      </c>
    </row>
    <row r="174" spans="1:15" x14ac:dyDescent="0.3">
      <c r="A174" t="s">
        <v>220</v>
      </c>
      <c r="B174" t="s">
        <v>569</v>
      </c>
      <c r="C174" t="s">
        <v>852</v>
      </c>
      <c r="D174" s="2">
        <v>-147533.16</v>
      </c>
      <c r="E174" s="2">
        <v>-147533.16</v>
      </c>
      <c r="F174" s="2">
        <v>-147533.16</v>
      </c>
      <c r="G174" s="2">
        <v>-147533.16</v>
      </c>
      <c r="H174" s="2">
        <v>-147533.16</v>
      </c>
      <c r="I174" s="2"/>
      <c r="J174" s="2">
        <v>-737665.8</v>
      </c>
      <c r="K174" t="str">
        <f t="shared" si="8"/>
        <v>insert into business_analytic.report.orenda values(2026, 1, '2021201300', 'Овруч,Фора-385 Богуна,8В', NULL, -147533.16, 'Orenda');</v>
      </c>
      <c r="L174" t="str">
        <f t="shared" si="8"/>
        <v>insert into business_analytic.report.orenda values(2026, 2, '2021201300', 'Овруч,Фора-385 Богуна,8В', NULL, -147533.16, 'Orenda');</v>
      </c>
      <c r="M174" t="str">
        <f t="shared" si="9"/>
        <v>insert into business_analytic.report.orenda values(2026, 3, '2021201300', 'Овруч,Фора-385 Богуна,8В', NULL, -147533.16, 'Orenda');</v>
      </c>
      <c r="N174" t="str">
        <f t="shared" si="10"/>
        <v>insert into business_analytic.report.orenda values(2026, 4, '2021201300', 'Овруч,Фора-385 Богуна,8В', NULL, -147533.16, 'Orenda');</v>
      </c>
      <c r="O174" t="str">
        <f t="shared" si="10"/>
        <v>insert into business_analytic.report.orenda values(2026, 5, '2021201300', 'Овруч,Фора-385 Богуна,8В', NULL, -147533.16, 'Orenda');</v>
      </c>
    </row>
    <row r="175" spans="1:15" x14ac:dyDescent="0.3">
      <c r="A175" t="s">
        <v>68</v>
      </c>
      <c r="B175" t="s">
        <v>570</v>
      </c>
      <c r="C175" t="s">
        <v>853</v>
      </c>
      <c r="D175" s="2">
        <v>-519902.79</v>
      </c>
      <c r="E175" s="2">
        <v>-456642.56</v>
      </c>
      <c r="F175" s="2">
        <v>-526888.87</v>
      </c>
      <c r="G175" s="2">
        <v>-561234.27</v>
      </c>
      <c r="H175" s="2">
        <v>-618238.94999999995</v>
      </c>
      <c r="I175" s="2"/>
      <c r="J175" s="2">
        <v>-2682907.44</v>
      </c>
      <c r="K175" t="str">
        <f t="shared" si="8"/>
        <v>insert into business_analytic.report.orenda values(2026, 1, '2021201400', 'Брусилів,Фора-390 Іларіона,20', NULL, -519902.79, 'Orenda');</v>
      </c>
      <c r="L175" t="str">
        <f t="shared" si="8"/>
        <v>insert into business_analytic.report.orenda values(2026, 2, '2021201400', 'Брусилів,Фора-390 Іларіона,20', NULL, -456642.56, 'Orenda');</v>
      </c>
      <c r="M175" t="str">
        <f t="shared" si="9"/>
        <v>insert into business_analytic.report.orenda values(2026, 3, '2021201400', 'Брусилів,Фора-390 Іларіона,20', NULL, -526888.87, 'Orenda');</v>
      </c>
      <c r="N175" t="str">
        <f t="shared" si="10"/>
        <v>insert into business_analytic.report.orenda values(2026, 4, '2021201400', 'Брусилів,Фора-390 Іларіона,20', NULL, -561234.27, 'Orenda');</v>
      </c>
      <c r="O175" t="str">
        <f t="shared" si="10"/>
        <v>insert into business_analytic.report.orenda values(2026, 5, '2021201400', 'Брусилів,Фора-390 Іларіона,20', NULL, -618238.95, 'Orenda');</v>
      </c>
    </row>
    <row r="176" spans="1:15" x14ac:dyDescent="0.3">
      <c r="A176" t="s">
        <v>69</v>
      </c>
      <c r="B176" t="s">
        <v>571</v>
      </c>
      <c r="C176" t="s">
        <v>854</v>
      </c>
      <c r="D176" s="2">
        <v>-399209.37</v>
      </c>
      <c r="E176" s="2">
        <v>-354968.38999999996</v>
      </c>
      <c r="F176" s="2">
        <v>-396212.32</v>
      </c>
      <c r="G176" s="2">
        <v>-421088.18</v>
      </c>
      <c r="H176" s="2">
        <v>-452097.8</v>
      </c>
      <c r="I176" s="2"/>
      <c r="J176" s="2">
        <v>-2023576.06</v>
      </c>
      <c r="K176" t="str">
        <f t="shared" si="8"/>
        <v>insert into business_analytic.report.orenda values(2026, 1, '2021201500', 'Попільня,Фора-395 Шайдюка,5А', NULL, -399209.37, 'Orenda');</v>
      </c>
      <c r="L176" t="str">
        <f t="shared" si="8"/>
        <v>insert into business_analytic.report.orenda values(2026, 2, '2021201500', 'Попільня,Фора-395 Шайдюка,5А', NULL, -354968.39, 'Orenda');</v>
      </c>
      <c r="M176" t="str">
        <f t="shared" si="9"/>
        <v>insert into business_analytic.report.orenda values(2026, 3, '2021201500', 'Попільня,Фора-395 Шайдюка,5А', NULL, -396212.32, 'Orenda');</v>
      </c>
      <c r="N176" t="str">
        <f t="shared" si="10"/>
        <v>insert into business_analytic.report.orenda values(2026, 4, '2021201500', 'Попільня,Фора-395 Шайдюка,5А', NULL, -421088.18, 'Orenda');</v>
      </c>
      <c r="O176" t="str">
        <f t="shared" si="10"/>
        <v>insert into business_analytic.report.orenda values(2026, 5, '2021201500', 'Попільня,Фора-395 Шайдюка,5А', NULL, -452097.8, 'Orenda');</v>
      </c>
    </row>
    <row r="177" spans="1:15" x14ac:dyDescent="0.3">
      <c r="A177" t="s">
        <v>70</v>
      </c>
      <c r="B177" t="s">
        <v>572</v>
      </c>
      <c r="C177" t="s">
        <v>855</v>
      </c>
      <c r="D177" s="2">
        <v>-445490.75999999995</v>
      </c>
      <c r="E177" s="2">
        <v>-440524.55</v>
      </c>
      <c r="F177" s="2">
        <v>-507112.13999999996</v>
      </c>
      <c r="G177" s="2">
        <v>-505873.32999999996</v>
      </c>
      <c r="H177" s="2">
        <v>-534889.93999999994</v>
      </c>
      <c r="I177" s="2">
        <v>-54455.509999999995</v>
      </c>
      <c r="J177" s="2">
        <v>-2488346.23</v>
      </c>
      <c r="K177" t="str">
        <f t="shared" si="8"/>
        <v>insert into business_analytic.report.orenda values(2026, 1, '2021201600', 'Житомир,Фора-414 Лятошинського,2', NULL, -445490.76, 'Orenda');</v>
      </c>
      <c r="L177" t="str">
        <f t="shared" si="8"/>
        <v>insert into business_analytic.report.orenda values(2026, 2, '2021201600', 'Житомир,Фора-414 Лятошинського,2', NULL, -440524.55, 'Orenda');</v>
      </c>
      <c r="M177" t="str">
        <f t="shared" si="9"/>
        <v>insert into business_analytic.report.orenda values(2026, 3, '2021201600', 'Житомир,Фора-414 Лятошинського,2', NULL, -507112.14, 'Orenda');</v>
      </c>
      <c r="N177" t="str">
        <f t="shared" si="10"/>
        <v>insert into business_analytic.report.orenda values(2026, 4, '2021201600', 'Житомир,Фора-414 Лятошинського,2', NULL, -505873.33, 'Orenda');</v>
      </c>
      <c r="O177" t="str">
        <f t="shared" si="10"/>
        <v>insert into business_analytic.report.orenda values(2026, 5, '2021201600', 'Житомир,Фора-414 Лятошинського,2', NULL, -534889.94, 'Orenda');</v>
      </c>
    </row>
    <row r="178" spans="1:15" x14ac:dyDescent="0.3">
      <c r="A178" t="s">
        <v>71</v>
      </c>
      <c r="B178" t="s">
        <v>573</v>
      </c>
      <c r="C178" t="s">
        <v>856</v>
      </c>
      <c r="D178" s="2">
        <v>-475864.13999999996</v>
      </c>
      <c r="E178" s="2">
        <v>-427329.38</v>
      </c>
      <c r="F178" s="2">
        <v>-485210.81</v>
      </c>
      <c r="G178" s="2">
        <v>-473377.48</v>
      </c>
      <c r="H178" s="2">
        <v>-482088.85</v>
      </c>
      <c r="I178" s="2">
        <v>-125182.87999999999</v>
      </c>
      <c r="J178" s="2">
        <v>-2469053.54</v>
      </c>
      <c r="K178" t="str">
        <f t="shared" si="8"/>
        <v>insert into business_analytic.report.orenda values(2026, 1, '2021201700', 'Житомир,Фора-468 Кибальчича,9', NULL, -475864.14, 'Orenda');</v>
      </c>
      <c r="L178" t="str">
        <f t="shared" si="8"/>
        <v>insert into business_analytic.report.orenda values(2026, 2, '2021201700', 'Житомир,Фора-468 Кибальчича,9', NULL, -427329.38, 'Orenda');</v>
      </c>
      <c r="M178" t="str">
        <f t="shared" si="9"/>
        <v>insert into business_analytic.report.orenda values(2026, 3, '2021201700', 'Житомир,Фора-468 Кибальчича,9', NULL, -485210.81, 'Orenda');</v>
      </c>
      <c r="N178" t="str">
        <f t="shared" si="10"/>
        <v>insert into business_analytic.report.orenda values(2026, 4, '2021201700', 'Житомир,Фора-468 Кибальчича,9', NULL, -473377.48, 'Orenda');</v>
      </c>
      <c r="O178" t="str">
        <f t="shared" si="10"/>
        <v>insert into business_analytic.report.orenda values(2026, 5, '2021201700', 'Житомир,Фора-468 Кибальчича,9', NULL, -482088.85, 'Orenda');</v>
      </c>
    </row>
    <row r="179" spans="1:15" x14ac:dyDescent="0.3">
      <c r="A179" t="s">
        <v>221</v>
      </c>
      <c r="B179" t="s">
        <v>574</v>
      </c>
      <c r="C179" t="s">
        <v>857</v>
      </c>
      <c r="D179" s="2">
        <v>-352000</v>
      </c>
      <c r="E179" s="2">
        <v>-352000</v>
      </c>
      <c r="F179" s="2">
        <v>-352000</v>
      </c>
      <c r="G179" s="2">
        <v>-340283.32999999996</v>
      </c>
      <c r="H179" s="2">
        <v>-352000</v>
      </c>
      <c r="I179" s="2"/>
      <c r="J179" s="2">
        <v>-1748283.33</v>
      </c>
      <c r="K179" t="str">
        <f t="shared" si="8"/>
        <v>insert into business_analytic.report.orenda values(2026, 1, '2021201800', 'Бердичів,Фора-473 Європейська, 5/7', NULL, -352000, 'Orenda');</v>
      </c>
      <c r="L179" t="str">
        <f t="shared" si="8"/>
        <v>insert into business_analytic.report.orenda values(2026, 2, '2021201800', 'Бердичів,Фора-473 Європейська, 5/7', NULL, -352000, 'Orenda');</v>
      </c>
      <c r="M179" t="str">
        <f t="shared" si="9"/>
        <v>insert into business_analytic.report.orenda values(2026, 3, '2021201800', 'Бердичів,Фора-473 Європейська, 5/7', NULL, -352000, 'Orenda');</v>
      </c>
      <c r="N179" t="str">
        <f t="shared" si="10"/>
        <v>insert into business_analytic.report.orenda values(2026, 4, '2021201800', 'Бердичів,Фора-473 Європейська, 5/7', NULL, -340283.33, 'Orenda');</v>
      </c>
      <c r="O179" t="str">
        <f t="shared" si="10"/>
        <v>insert into business_analytic.report.orenda values(2026, 5, '2021201800', 'Бердичів,Фора-473 Європейська, 5/7', NULL, -352000, 'Orenda');</v>
      </c>
    </row>
    <row r="180" spans="1:15" x14ac:dyDescent="0.3">
      <c r="A180" t="s">
        <v>72</v>
      </c>
      <c r="B180" t="s">
        <v>575</v>
      </c>
      <c r="C180" t="s">
        <v>858</v>
      </c>
      <c r="D180" s="2">
        <v>-371267.88</v>
      </c>
      <c r="E180" s="2">
        <v>-331657.55</v>
      </c>
      <c r="F180" s="2">
        <v>-392985.38999999996</v>
      </c>
      <c r="G180" s="2">
        <v>-432124</v>
      </c>
      <c r="H180" s="2">
        <v>-437075.64999999997</v>
      </c>
      <c r="I180" s="2"/>
      <c r="J180" s="2">
        <v>-1965110.4699999997</v>
      </c>
      <c r="K180" t="str">
        <f t="shared" si="8"/>
        <v>insert into business_analytic.report.orenda values(2026, 1, '2021201900', 'Чуднів,Фора-494 Героїв Майдану,156', NULL, -371267.88, 'Orenda');</v>
      </c>
      <c r="L180" t="str">
        <f t="shared" si="8"/>
        <v>insert into business_analytic.report.orenda values(2026, 2, '2021201900', 'Чуднів,Фора-494 Героїв Майдану,156', NULL, -331657.55, 'Orenda');</v>
      </c>
      <c r="M180" t="str">
        <f t="shared" si="9"/>
        <v>insert into business_analytic.report.orenda values(2026, 3, '2021201900', 'Чуднів,Фора-494 Героїв Майдану,156', NULL, -392985.39, 'Orenda');</v>
      </c>
      <c r="N180" t="str">
        <f t="shared" si="10"/>
        <v>insert into business_analytic.report.orenda values(2026, 4, '2021201900', 'Чуднів,Фора-494 Героїв Майдану,156', NULL, -432124, 'Orenda');</v>
      </c>
      <c r="O180" t="str">
        <f t="shared" si="10"/>
        <v>insert into business_analytic.report.orenda values(2026, 5, '2021201900', 'Чуднів,Фора-494 Героїв Майдану,156', NULL, -437075.65, 'Orenda');</v>
      </c>
    </row>
    <row r="181" spans="1:15" s="3" customFormat="1" x14ac:dyDescent="0.3">
      <c r="A181" t="s">
        <v>73</v>
      </c>
      <c r="B181" t="s">
        <v>576</v>
      </c>
      <c r="C181" t="s">
        <v>859</v>
      </c>
      <c r="D181" s="2">
        <v>-385000</v>
      </c>
      <c r="E181" s="2">
        <v>-385000</v>
      </c>
      <c r="F181" s="2">
        <v>-385000</v>
      </c>
      <c r="G181" s="2">
        <v>-388511.62</v>
      </c>
      <c r="H181" s="2">
        <v>-385000</v>
      </c>
      <c r="I181" s="2">
        <v>-886.58999999999992</v>
      </c>
      <c r="J181" s="2">
        <v>-1929398.2100000002</v>
      </c>
      <c r="K181" t="str">
        <f t="shared" si="8"/>
        <v>insert into business_analytic.report.orenda values(2026, 1, '2021202000', 'Житомир,Фора-498 Сльоти,60а', NULL, -385000, 'Orenda');</v>
      </c>
      <c r="L181" t="str">
        <f t="shared" si="8"/>
        <v>insert into business_analytic.report.orenda values(2026, 2, '2021202000', 'Житомир,Фора-498 Сльоти,60а', NULL, -385000, 'Orenda');</v>
      </c>
      <c r="M181" t="str">
        <f t="shared" si="9"/>
        <v>insert into business_analytic.report.orenda values(2026, 3, '2021202000', 'Житомир,Фора-498 Сльоти,60а', NULL, -385000, 'Orenda');</v>
      </c>
      <c r="N181" t="str">
        <f t="shared" si="10"/>
        <v>insert into business_analytic.report.orenda values(2026, 4, '2021202000', 'Житомир,Фора-498 Сльоти,60а', NULL, -388511.62, 'Orenda');</v>
      </c>
      <c r="O181" t="str">
        <f t="shared" si="10"/>
        <v>insert into business_analytic.report.orenda values(2026, 5, '2021202000', 'Житомир,Фора-498 Сльоти,60а', NULL, -385000, 'Orenda');</v>
      </c>
    </row>
    <row r="182" spans="1:15" s="3" customFormat="1" x14ac:dyDescent="0.3">
      <c r="A182" t="s">
        <v>222</v>
      </c>
      <c r="B182" t="s">
        <v>577</v>
      </c>
      <c r="C182" t="s">
        <v>860</v>
      </c>
      <c r="D182" s="2">
        <v>-450000</v>
      </c>
      <c r="E182" s="2">
        <v>-450000</v>
      </c>
      <c r="F182" s="2">
        <v>-450000</v>
      </c>
      <c r="G182" s="2">
        <v>-453000</v>
      </c>
      <c r="H182" s="2">
        <v>-495000</v>
      </c>
      <c r="I182" s="2"/>
      <c r="J182" s="2">
        <v>-2298000</v>
      </c>
      <c r="K182" t="str">
        <f t="shared" si="8"/>
        <v>insert into business_analytic.report.orenda values(2026, 1, '2021202100', 'Коростень,Фора-513 Базарна площа,18В', NULL, -450000, 'Orenda');</v>
      </c>
      <c r="L182" t="str">
        <f t="shared" si="8"/>
        <v>insert into business_analytic.report.orenda values(2026, 2, '2021202100', 'Коростень,Фора-513 Базарна площа,18В', NULL, -450000, 'Orenda');</v>
      </c>
      <c r="M182" t="str">
        <f t="shared" si="9"/>
        <v>insert into business_analytic.report.orenda values(2026, 3, '2021202100', 'Коростень,Фора-513 Базарна площа,18В', NULL, -450000, 'Orenda');</v>
      </c>
      <c r="N182" t="str">
        <f t="shared" si="10"/>
        <v>insert into business_analytic.report.orenda values(2026, 4, '2021202100', 'Коростень,Фора-513 Базарна площа,18В', NULL, -453000, 'Orenda');</v>
      </c>
      <c r="O182" t="str">
        <f t="shared" si="10"/>
        <v>insert into business_analytic.report.orenda values(2026, 5, '2021202100', 'Коростень,Фора-513 Базарна площа,18В', NULL, -495000, 'Orenda');</v>
      </c>
    </row>
    <row r="183" spans="1:15" x14ac:dyDescent="0.3">
      <c r="A183" t="s">
        <v>74</v>
      </c>
      <c r="B183" t="s">
        <v>578</v>
      </c>
      <c r="C183" t="s">
        <v>429</v>
      </c>
      <c r="D183" s="2">
        <v>-287436.32999999996</v>
      </c>
      <c r="E183" s="2">
        <v>-255072.31</v>
      </c>
      <c r="F183" s="2">
        <v>-277518.49</v>
      </c>
      <c r="G183" s="2">
        <v>-303093.75</v>
      </c>
      <c r="H183" s="2">
        <v>-323291.26999999996</v>
      </c>
      <c r="I183" s="2"/>
      <c r="J183" s="2">
        <v>-1446412.15</v>
      </c>
      <c r="K183" t="str">
        <f t="shared" si="8"/>
        <v>insert into business_analytic.report.orenda values(2026, 1, '2021202300', 'Ружин,Фора-530 Незалежності,9/1', NULL, -287436.33, 'Orenda');</v>
      </c>
      <c r="L183" t="str">
        <f t="shared" si="8"/>
        <v>insert into business_analytic.report.orenda values(2026, 2, '2021202300', 'Ружин,Фора-530 Незалежності,9/1', NULL, -255072.31, 'Orenda');</v>
      </c>
      <c r="M183" t="str">
        <f t="shared" si="9"/>
        <v>insert into business_analytic.report.orenda values(2026, 3, '2021202300', 'Ружин,Фора-530 Незалежності,9/1', NULL, -277518.49, 'Orenda');</v>
      </c>
      <c r="N183" t="str">
        <f t="shared" si="10"/>
        <v>insert into business_analytic.report.orenda values(2026, 4, '2021202300', 'Ружин,Фора-530 Незалежності,9/1', NULL, -303093.75, 'Orenda');</v>
      </c>
      <c r="O183" t="str">
        <f t="shared" si="10"/>
        <v>insert into business_analytic.report.orenda values(2026, 5, '2021202300', 'Ружин,Фора-530 Незалежності,9/1', NULL, -323291.27, 'Orenda');</v>
      </c>
    </row>
    <row r="184" spans="1:15" x14ac:dyDescent="0.3">
      <c r="A184" t="s">
        <v>416</v>
      </c>
      <c r="B184" t="s">
        <v>579</v>
      </c>
      <c r="C184" t="s">
        <v>861</v>
      </c>
      <c r="D184" s="2"/>
      <c r="E184" s="2">
        <v>-567064.71</v>
      </c>
      <c r="F184" s="2">
        <v>-1075036.57</v>
      </c>
      <c r="G184" s="2">
        <v>-1061472.1199999999</v>
      </c>
      <c r="H184" s="2">
        <v>-933416.25</v>
      </c>
      <c r="I184" s="2">
        <v>-361723.48</v>
      </c>
      <c r="J184" s="2">
        <v>-3998713.13</v>
      </c>
      <c r="K184" t="str">
        <f t="shared" si="8"/>
        <v>insert into business_analytic.report.orenda values(2026, 1, '2021202600', 'Боярка,Фора-549 Гоголя,50Б', NULL, 0, 'Orenda');</v>
      </c>
      <c r="L184" t="str">
        <f t="shared" si="8"/>
        <v>insert into business_analytic.report.orenda values(2026, 2, '2021202600', 'Боярка,Фора-549 Гоголя,50Б', NULL, -567064.71, 'Orenda');</v>
      </c>
      <c r="M184" t="str">
        <f t="shared" si="9"/>
        <v>insert into business_analytic.report.orenda values(2026, 3, '2021202600', 'Боярка,Фора-549 Гоголя,50Б', NULL, -1075036.57, 'Orenda');</v>
      </c>
      <c r="N184" t="str">
        <f t="shared" si="10"/>
        <v>insert into business_analytic.report.orenda values(2026, 4, '2021202600', 'Боярка,Фора-549 Гоголя,50Б', NULL, -1061472.12, 'Orenda');</v>
      </c>
      <c r="O184" t="str">
        <f t="shared" si="10"/>
        <v>insert into business_analytic.report.orenda values(2026, 5, '2021202600', 'Боярка,Фора-549 Гоголя,50Б', NULL, -933416.25, 'Orenda');</v>
      </c>
    </row>
    <row r="185" spans="1:15" x14ac:dyDescent="0.3">
      <c r="A185" t="s">
        <v>75</v>
      </c>
      <c r="B185" t="s">
        <v>580</v>
      </c>
      <c r="C185" t="s">
        <v>862</v>
      </c>
      <c r="D185" s="2">
        <v>-901229.5</v>
      </c>
      <c r="E185" s="2">
        <v>-911764.7</v>
      </c>
      <c r="F185" s="2">
        <v>-919420.83</v>
      </c>
      <c r="G185" s="2">
        <v>-934516.1</v>
      </c>
      <c r="H185" s="2">
        <v>-935484.2699999999</v>
      </c>
      <c r="I185" s="2"/>
      <c r="J185" s="2">
        <v>-4602415.3999999994</v>
      </c>
      <c r="K185" t="str">
        <f t="shared" si="8"/>
        <v>insert into business_analytic.report.orenda values(2026, 1, '2021202800', 'Козин,Фора-555 Партизанська,2Д', NULL, -901229.5, 'Orenda');</v>
      </c>
      <c r="L185" t="str">
        <f t="shared" si="8"/>
        <v>insert into business_analytic.report.orenda values(2026, 2, '2021202800', 'Козин,Фора-555 Партизанська,2Д', NULL, -911764.7, 'Orenda');</v>
      </c>
      <c r="M185" t="str">
        <f t="shared" si="9"/>
        <v>insert into business_analytic.report.orenda values(2026, 3, '2021202800', 'Козин,Фора-555 Партизанська,2Д', NULL, -919420.83, 'Orenda');</v>
      </c>
      <c r="N185" t="str">
        <f t="shared" si="10"/>
        <v>insert into business_analytic.report.orenda values(2026, 4, '2021202800', 'Козин,Фора-555 Партизанська,2Д', NULL, -934516.1, 'Orenda');</v>
      </c>
      <c r="O185" t="str">
        <f t="shared" si="10"/>
        <v>insert into business_analytic.report.orenda values(2026, 5, '2021202800', 'Козин,Фора-555 Партизанська,2Д', NULL, -935484.27, 'Orenda');</v>
      </c>
    </row>
    <row r="186" spans="1:15" x14ac:dyDescent="0.3">
      <c r="A186" t="s">
        <v>76</v>
      </c>
      <c r="B186" t="s">
        <v>581</v>
      </c>
      <c r="C186" t="s">
        <v>430</v>
      </c>
      <c r="D186" s="2">
        <v>-336880</v>
      </c>
      <c r="E186" s="2">
        <v>-336880</v>
      </c>
      <c r="F186" s="2">
        <v>-336880</v>
      </c>
      <c r="G186" s="2">
        <v>-336880</v>
      </c>
      <c r="H186" s="2">
        <v>-336880</v>
      </c>
      <c r="I186" s="2"/>
      <c r="J186" s="2">
        <v>-1684400</v>
      </c>
      <c r="K186" t="str">
        <f t="shared" si="8"/>
        <v>insert into business_analytic.report.orenda values(2026, 1, '2021202900', 'Бердичів,Фора-553 Вінницька,71', NULL, -336880, 'Orenda');</v>
      </c>
      <c r="L186" t="str">
        <f t="shared" si="8"/>
        <v>insert into business_analytic.report.orenda values(2026, 2, '2021202900', 'Бердичів,Фора-553 Вінницька,71', NULL, -336880, 'Orenda');</v>
      </c>
      <c r="M186" t="str">
        <f t="shared" si="9"/>
        <v>insert into business_analytic.report.orenda values(2026, 3, '2021202900', 'Бердичів,Фора-553 Вінницька,71', NULL, -336880, 'Orenda');</v>
      </c>
      <c r="N186" t="str">
        <f t="shared" si="10"/>
        <v>insert into business_analytic.report.orenda values(2026, 4, '2021202900', 'Бердичів,Фора-553 Вінницька,71', NULL, -336880, 'Orenda');</v>
      </c>
      <c r="O186" t="str">
        <f t="shared" si="10"/>
        <v>insert into business_analytic.report.orenda values(2026, 5, '2021202900', 'Бердичів,Фора-553 Вінницька,71', NULL, -336880, 'Orenda');</v>
      </c>
    </row>
    <row r="187" spans="1:15" x14ac:dyDescent="0.3">
      <c r="A187" t="s">
        <v>223</v>
      </c>
      <c r="B187" t="s">
        <v>671</v>
      </c>
      <c r="C187" t="s">
        <v>863</v>
      </c>
      <c r="D187" s="2">
        <v>-177400</v>
      </c>
      <c r="E187" s="2">
        <v>-177400</v>
      </c>
      <c r="F187" s="2">
        <v>-177400</v>
      </c>
      <c r="G187" s="2">
        <v>-177400</v>
      </c>
      <c r="H187" s="2">
        <v>-177400</v>
      </c>
      <c r="I187" s="2"/>
      <c r="J187" s="2">
        <v>-887000</v>
      </c>
      <c r="K187" t="str">
        <f t="shared" si="8"/>
        <v>insert into business_analytic.report.orenda values(2026, 1, '2021300400', 'Ніжин,Фора-096 Прощенка,12', NULL, -177400, 'Orenda');</v>
      </c>
      <c r="L187" t="str">
        <f t="shared" si="8"/>
        <v>insert into business_analytic.report.orenda values(2026, 2, '2021300400', 'Ніжин,Фора-096 Прощенка,12', NULL, -177400, 'Orenda');</v>
      </c>
      <c r="M187" t="str">
        <f t="shared" si="9"/>
        <v>insert into business_analytic.report.orenda values(2026, 3, '2021300400', 'Ніжин,Фора-096 Прощенка,12', NULL, -177400, 'Orenda');</v>
      </c>
      <c r="N187" t="str">
        <f t="shared" si="10"/>
        <v>insert into business_analytic.report.orenda values(2026, 4, '2021300400', 'Ніжин,Фора-096 Прощенка,12', NULL, -177400, 'Orenda');</v>
      </c>
      <c r="O187" t="str">
        <f t="shared" si="10"/>
        <v>insert into business_analytic.report.orenda values(2026, 5, '2021300400', 'Ніжин,Фора-096 Прощенка,12', NULL, -177400, 'Orenda');</v>
      </c>
    </row>
    <row r="188" spans="1:15" x14ac:dyDescent="0.3">
      <c r="A188" t="s">
        <v>224</v>
      </c>
      <c r="B188" t="s">
        <v>582</v>
      </c>
      <c r="C188" t="s">
        <v>864</v>
      </c>
      <c r="D188" s="2">
        <v>-323568</v>
      </c>
      <c r="E188" s="2">
        <v>-323568</v>
      </c>
      <c r="F188" s="2">
        <v>-323568</v>
      </c>
      <c r="G188" s="2">
        <v>-323568</v>
      </c>
      <c r="H188" s="2">
        <v>-323568</v>
      </c>
      <c r="I188" s="2"/>
      <c r="J188" s="2">
        <v>-1617840</v>
      </c>
      <c r="K188" t="str">
        <f t="shared" si="8"/>
        <v>insert into business_analytic.report.orenda values(2026, 1, '2021300500', 'Борзна,Фора-100 Шевченка,16', NULL, -323568, 'Orenda');</v>
      </c>
      <c r="L188" t="str">
        <f t="shared" si="8"/>
        <v>insert into business_analytic.report.orenda values(2026, 2, '2021300500', 'Борзна,Фора-100 Шевченка,16', NULL, -323568, 'Orenda');</v>
      </c>
      <c r="M188" t="str">
        <f t="shared" si="9"/>
        <v>insert into business_analytic.report.orenda values(2026, 3, '2021300500', 'Борзна,Фора-100 Шевченка,16', NULL, -323568, 'Orenda');</v>
      </c>
      <c r="N188" t="str">
        <f t="shared" si="10"/>
        <v>insert into business_analytic.report.orenda values(2026, 4, '2021300500', 'Борзна,Фора-100 Шевченка,16', NULL, -323568, 'Orenda');</v>
      </c>
      <c r="O188" t="str">
        <f t="shared" si="10"/>
        <v>insert into business_analytic.report.orenda values(2026, 5, '2021300500', 'Борзна,Фора-100 Шевченка,16', NULL, -323568, 'Orenda');</v>
      </c>
    </row>
    <row r="189" spans="1:15" x14ac:dyDescent="0.3">
      <c r="A189" t="s">
        <v>225</v>
      </c>
      <c r="B189" t="s">
        <v>583</v>
      </c>
      <c r="C189" t="s">
        <v>865</v>
      </c>
      <c r="D189" s="2">
        <v>-199800</v>
      </c>
      <c r="E189" s="2">
        <v>-199800</v>
      </c>
      <c r="F189" s="2">
        <v>-199800</v>
      </c>
      <c r="G189" s="2">
        <v>-199800</v>
      </c>
      <c r="H189" s="2">
        <v>-199800</v>
      </c>
      <c r="I189" s="2"/>
      <c r="J189" s="2">
        <v>-999000</v>
      </c>
      <c r="K189" t="str">
        <f t="shared" si="8"/>
        <v>insert into business_analytic.report.orenda values(2026, 1, '2021300600', 'Ніжин,Фора-127 Шевченка,20', NULL, -199800, 'Orenda');</v>
      </c>
      <c r="L189" t="str">
        <f t="shared" si="8"/>
        <v>insert into business_analytic.report.orenda values(2026, 2, '2021300600', 'Ніжин,Фора-127 Шевченка,20', NULL, -199800, 'Orenda');</v>
      </c>
      <c r="M189" t="str">
        <f t="shared" si="9"/>
        <v>insert into business_analytic.report.orenda values(2026, 3, '2021300600', 'Ніжин,Фора-127 Шевченка,20', NULL, -199800, 'Orenda');</v>
      </c>
      <c r="N189" t="str">
        <f t="shared" si="10"/>
        <v>insert into business_analytic.report.orenda values(2026, 4, '2021300600', 'Ніжин,Фора-127 Шевченка,20', NULL, -199800, 'Orenda');</v>
      </c>
      <c r="O189" t="str">
        <f t="shared" si="10"/>
        <v>insert into business_analytic.report.orenda values(2026, 5, '2021300600', 'Ніжин,Фора-127 Шевченка,20', NULL, -199800, 'Orenda');</v>
      </c>
    </row>
    <row r="190" spans="1:15" x14ac:dyDescent="0.3">
      <c r="A190" t="s">
        <v>226</v>
      </c>
      <c r="B190" t="s">
        <v>584</v>
      </c>
      <c r="C190" t="s">
        <v>724</v>
      </c>
      <c r="D190" s="2">
        <v>-64610</v>
      </c>
      <c r="E190" s="2">
        <v>-64610</v>
      </c>
      <c r="F190" s="2">
        <v>-64610</v>
      </c>
      <c r="G190" s="2">
        <v>-64610</v>
      </c>
      <c r="H190" s="2">
        <v>-64610</v>
      </c>
      <c r="I190" s="2"/>
      <c r="J190" s="2">
        <v>-323050</v>
      </c>
      <c r="K190" t="str">
        <f t="shared" si="8"/>
        <v>insert into business_analytic.report.orenda values(2026, 1, '2021300700', 'Бахмач,Фора-137 Соборності,62Б', NULL, -64610, 'Orenda');</v>
      </c>
      <c r="L190" t="str">
        <f t="shared" si="8"/>
        <v>insert into business_analytic.report.orenda values(2026, 2, '2021300700', 'Бахмач,Фора-137 Соборності,62Б', NULL, -64610, 'Orenda');</v>
      </c>
      <c r="M190" t="str">
        <f t="shared" si="9"/>
        <v>insert into business_analytic.report.orenda values(2026, 3, '2021300700', 'Бахмач,Фора-137 Соборності,62Б', NULL, -64610, 'Orenda');</v>
      </c>
      <c r="N190" t="str">
        <f t="shared" si="10"/>
        <v>insert into business_analytic.report.orenda values(2026, 4, '2021300700', 'Бахмач,Фора-137 Соборності,62Б', NULL, -64610, 'Orenda');</v>
      </c>
      <c r="O190" t="str">
        <f t="shared" si="10"/>
        <v>insert into business_analytic.report.orenda values(2026, 5, '2021300700', 'Бахмач,Фора-137 Соборності,62Б', NULL, -64610, 'Orenda');</v>
      </c>
    </row>
    <row r="191" spans="1:15" x14ac:dyDescent="0.3">
      <c r="A191" t="s">
        <v>77</v>
      </c>
      <c r="B191" t="s">
        <v>585</v>
      </c>
      <c r="C191" t="s">
        <v>866</v>
      </c>
      <c r="D191" s="2">
        <v>-343223.2</v>
      </c>
      <c r="E191" s="2">
        <v>-322816.52999999997</v>
      </c>
      <c r="F191" s="2">
        <v>-370012.32999999996</v>
      </c>
      <c r="G191" s="2">
        <v>-389825.97</v>
      </c>
      <c r="H191" s="2">
        <v>-427477.55</v>
      </c>
      <c r="I191" s="2"/>
      <c r="J191" s="2">
        <v>-1853355.5799999998</v>
      </c>
      <c r="K191" t="str">
        <f t="shared" si="8"/>
        <v>insert into business_analytic.report.orenda values(2026, 1, '2021300900', 'Козелець,Фора-179 Соборності,53/1', NULL, -343223.2, 'Orenda');</v>
      </c>
      <c r="L191" t="str">
        <f t="shared" si="8"/>
        <v>insert into business_analytic.report.orenda values(2026, 2, '2021300900', 'Козелець,Фора-179 Соборності,53/1', NULL, -322816.53, 'Orenda');</v>
      </c>
      <c r="M191" t="str">
        <f t="shared" si="9"/>
        <v>insert into business_analytic.report.orenda values(2026, 3, '2021300900', 'Козелець,Фора-179 Соборності,53/1', NULL, -370012.33, 'Orenda');</v>
      </c>
      <c r="N191" t="str">
        <f t="shared" si="10"/>
        <v>insert into business_analytic.report.orenda values(2026, 4, '2021300900', 'Козелець,Фора-179 Соборності,53/1', NULL, -389825.97, 'Orenda');</v>
      </c>
      <c r="O191" t="str">
        <f t="shared" si="10"/>
        <v>insert into business_analytic.report.orenda values(2026, 5, '2021300900', 'Козелець,Фора-179 Соборності,53/1', NULL, -427477.55, 'Orenda');</v>
      </c>
    </row>
    <row r="192" spans="1:15" x14ac:dyDescent="0.3">
      <c r="A192" t="s">
        <v>227</v>
      </c>
      <c r="B192" t="s">
        <v>654</v>
      </c>
      <c r="C192" t="s">
        <v>867</v>
      </c>
      <c r="D192" s="2">
        <v>-160350</v>
      </c>
      <c r="E192" s="2">
        <v>-160350</v>
      </c>
      <c r="F192" s="2">
        <v>-160350</v>
      </c>
      <c r="G192" s="2">
        <v>-160350</v>
      </c>
      <c r="H192" s="2">
        <v>-255841.97999999998</v>
      </c>
      <c r="I192" s="2">
        <v>-528066.76</v>
      </c>
      <c r="J192" s="2">
        <v>-1425308.74</v>
      </c>
      <c r="K192" t="str">
        <f t="shared" si="8"/>
        <v>insert into business_analytic.report.orenda values(2026, 1, '2021301100', 'Носівка,Фора-235 Центральна,39', NULL, -160350, 'Orenda');</v>
      </c>
      <c r="L192" t="str">
        <f t="shared" si="8"/>
        <v>insert into business_analytic.report.orenda values(2026, 2, '2021301100', 'Носівка,Фора-235 Центральна,39', NULL, -160350, 'Orenda');</v>
      </c>
      <c r="M192" t="str">
        <f t="shared" si="9"/>
        <v>insert into business_analytic.report.orenda values(2026, 3, '2021301100', 'Носівка,Фора-235 Центральна,39', NULL, -160350, 'Orenda');</v>
      </c>
      <c r="N192" t="str">
        <f t="shared" si="10"/>
        <v>insert into business_analytic.report.orenda values(2026, 4, '2021301100', 'Носівка,Фора-235 Центральна,39', NULL, -160350, 'Orenda');</v>
      </c>
      <c r="O192" t="str">
        <f t="shared" si="10"/>
        <v>insert into business_analytic.report.orenda values(2026, 5, '2021301100', 'Носівка,Фора-235 Центральна,39', NULL, -255841.98, 'Orenda');</v>
      </c>
    </row>
    <row r="193" spans="1:15" x14ac:dyDescent="0.3">
      <c r="A193" t="s">
        <v>78</v>
      </c>
      <c r="B193" t="s">
        <v>586</v>
      </c>
      <c r="C193" t="s">
        <v>868</v>
      </c>
      <c r="D193" s="2">
        <v>-293344.26999999996</v>
      </c>
      <c r="E193" s="2">
        <v>-264220.51999999996</v>
      </c>
      <c r="F193" s="2">
        <v>-291985.82</v>
      </c>
      <c r="G193" s="2">
        <v>-318778.19</v>
      </c>
      <c r="H193" s="2">
        <v>-328788.46999999997</v>
      </c>
      <c r="I193" s="2"/>
      <c r="J193" s="2">
        <v>-1497117.2699999998</v>
      </c>
      <c r="K193" t="str">
        <f t="shared" si="8"/>
        <v>insert into business_analytic.report.orenda values(2026, 1, '2021301200', 'Бобровиця,Фора-241 Незалежності,40А', NULL, -293344.27, 'Orenda');</v>
      </c>
      <c r="L193" t="str">
        <f t="shared" si="8"/>
        <v>insert into business_analytic.report.orenda values(2026, 2, '2021301200', 'Бобровиця,Фора-241 Незалежності,40А', NULL, -264220.52, 'Orenda');</v>
      </c>
      <c r="M193" t="str">
        <f t="shared" si="9"/>
        <v>insert into business_analytic.report.orenda values(2026, 3, '2021301200', 'Бобровиця,Фора-241 Незалежності,40А', NULL, -291985.82, 'Orenda');</v>
      </c>
      <c r="N193" t="str">
        <f t="shared" si="10"/>
        <v>insert into business_analytic.report.orenda values(2026, 4, '2021301200', 'Бобровиця,Фора-241 Незалежності,40А', NULL, -318778.19, 'Orenda');</v>
      </c>
      <c r="O193" t="str">
        <f t="shared" si="10"/>
        <v>insert into business_analytic.report.orenda values(2026, 5, '2021301200', 'Бобровиця,Фора-241 Незалежності,40А', NULL, -328788.47, 'Orenda');</v>
      </c>
    </row>
    <row r="194" spans="1:15" x14ac:dyDescent="0.3">
      <c r="A194" t="s">
        <v>79</v>
      </c>
      <c r="B194" t="s">
        <v>587</v>
      </c>
      <c r="C194" t="s">
        <v>869</v>
      </c>
      <c r="D194" s="2">
        <v>-209404.05</v>
      </c>
      <c r="E194" s="2">
        <v>-164311.63</v>
      </c>
      <c r="F194" s="2">
        <v>-225297.46</v>
      </c>
      <c r="G194" s="2">
        <v>-241957.53999999998</v>
      </c>
      <c r="H194" s="2">
        <v>-269844.45</v>
      </c>
      <c r="I194" s="2"/>
      <c r="J194" s="2">
        <v>-1110815.1299999999</v>
      </c>
      <c r="K194" t="str">
        <f t="shared" si="8"/>
        <v>insert into business_analytic.report.orenda values(2026, 1, '2021301300', 'Городня,Фора-242 Чернігівська,26А', NULL, -209404.05, 'Orenda');</v>
      </c>
      <c r="L194" t="str">
        <f t="shared" si="8"/>
        <v>insert into business_analytic.report.orenda values(2026, 2, '2021301300', 'Городня,Фора-242 Чернігівська,26А', NULL, -164311.63, 'Orenda');</v>
      </c>
      <c r="M194" t="str">
        <f t="shared" si="9"/>
        <v>insert into business_analytic.report.orenda values(2026, 3, '2021301300', 'Городня,Фора-242 Чернігівська,26А', NULL, -225297.46, 'Orenda');</v>
      </c>
      <c r="N194" t="str">
        <f t="shared" si="10"/>
        <v>insert into business_analytic.report.orenda values(2026, 4, '2021301300', 'Городня,Фора-242 Чернігівська,26А', NULL, -241957.54, 'Orenda');</v>
      </c>
      <c r="O194" t="str">
        <f t="shared" si="10"/>
        <v>insert into business_analytic.report.orenda values(2026, 5, '2021301300', 'Городня,Фора-242 Чернігівська,26А', NULL, -269844.45, 'Orenda');</v>
      </c>
    </row>
    <row r="195" spans="1:15" x14ac:dyDescent="0.3">
      <c r="A195" t="s">
        <v>80</v>
      </c>
      <c r="B195" t="s">
        <v>588</v>
      </c>
      <c r="C195" t="s">
        <v>870</v>
      </c>
      <c r="D195" s="2">
        <v>-383585.14999999997</v>
      </c>
      <c r="E195" s="2">
        <v>-368028.15999999997</v>
      </c>
      <c r="F195" s="2">
        <v>-400895.95999999996</v>
      </c>
      <c r="G195" s="2">
        <v>-398716.37</v>
      </c>
      <c r="H195" s="2">
        <v>-420504.62</v>
      </c>
      <c r="I195" s="2">
        <v>-338813.70999999996</v>
      </c>
      <c r="J195" s="2">
        <v>-2310543.9699999997</v>
      </c>
      <c r="K195" t="str">
        <f t="shared" si="8"/>
        <v>insert into business_analytic.report.orenda values(2026, 1, '2021301400', 'Ніжин,Фора-295 Батюка,9', NULL, -383585.15, 'Orenda');</v>
      </c>
      <c r="L195" t="str">
        <f t="shared" si="8"/>
        <v>insert into business_analytic.report.orenda values(2026, 2, '2021301400', 'Ніжин,Фора-295 Батюка,9', NULL, -368028.16, 'Orenda');</v>
      </c>
      <c r="M195" t="str">
        <f t="shared" si="9"/>
        <v>insert into business_analytic.report.orenda values(2026, 3, '2021301400', 'Ніжин,Фора-295 Батюка,9', NULL, -400895.96, 'Orenda');</v>
      </c>
      <c r="N195" t="str">
        <f t="shared" si="10"/>
        <v>insert into business_analytic.report.orenda values(2026, 4, '2021301400', 'Ніжин,Фора-295 Батюка,9', NULL, -398716.37, 'Orenda');</v>
      </c>
      <c r="O195" t="str">
        <f t="shared" si="10"/>
        <v>insert into business_analytic.report.orenda values(2026, 5, '2021301400', 'Ніжин,Фора-295 Батюка,9', NULL, -420504.62, 'Orenda');</v>
      </c>
    </row>
    <row r="196" spans="1:15" x14ac:dyDescent="0.3">
      <c r="A196" t="s">
        <v>81</v>
      </c>
      <c r="B196" t="s">
        <v>589</v>
      </c>
      <c r="C196" t="s">
        <v>871</v>
      </c>
      <c r="D196" s="2">
        <v>-437000</v>
      </c>
      <c r="E196" s="2">
        <v>-437000</v>
      </c>
      <c r="F196" s="2">
        <v>-446867.74</v>
      </c>
      <c r="G196" s="2">
        <v>-480700</v>
      </c>
      <c r="H196" s="2">
        <v>-480700</v>
      </c>
      <c r="I196" s="2"/>
      <c r="J196" s="2">
        <v>-2282267.7400000002</v>
      </c>
      <c r="K196" t="str">
        <f t="shared" si="8"/>
        <v>insert into business_analytic.report.orenda values(2026, 1, '2021301700', 'Чернігів,Фора-538 Миру,68', NULL, -437000, 'Orenda');</v>
      </c>
      <c r="L196" t="str">
        <f t="shared" si="8"/>
        <v>insert into business_analytic.report.orenda values(2026, 2, '2021301700', 'Чернігів,Фора-538 Миру,68', NULL, -437000, 'Orenda');</v>
      </c>
      <c r="M196" t="str">
        <f t="shared" si="9"/>
        <v>insert into business_analytic.report.orenda values(2026, 3, '2021301700', 'Чернігів,Фора-538 Миру,68', NULL, -446867.74, 'Orenda');</v>
      </c>
      <c r="N196" t="str">
        <f t="shared" si="10"/>
        <v>insert into business_analytic.report.orenda values(2026, 4, '2021301700', 'Чернігів,Фора-538 Миру,68', NULL, -480700, 'Orenda');</v>
      </c>
      <c r="O196" t="str">
        <f t="shared" si="10"/>
        <v>insert into business_analytic.report.orenda values(2026, 5, '2021301700', 'Чернігів,Фора-538 Миру,68', NULL, -480700, 'Orenda');</v>
      </c>
    </row>
    <row r="197" spans="1:15" x14ac:dyDescent="0.3">
      <c r="A197" t="s">
        <v>82</v>
      </c>
      <c r="B197" t="s">
        <v>590</v>
      </c>
      <c r="C197" t="s">
        <v>872</v>
      </c>
      <c r="D197" s="2">
        <v>-275852.3</v>
      </c>
      <c r="E197" s="2">
        <v>-257721.34</v>
      </c>
      <c r="F197" s="2">
        <v>-184250</v>
      </c>
      <c r="G197" s="2">
        <v>-435663.1</v>
      </c>
      <c r="H197" s="2">
        <v>-338986.20999999996</v>
      </c>
      <c r="I197" s="2"/>
      <c r="J197" s="2">
        <v>-1492472.9499999997</v>
      </c>
      <c r="K197" t="str">
        <f t="shared" si="8"/>
        <v>insert into business_analytic.report.orenda values(2026, 1, '2021301900', 'Корюківка,Фора-541 Шевченка,73А', NULL, -275852.3, 'Orenda');</v>
      </c>
      <c r="L197" t="str">
        <f t="shared" si="8"/>
        <v>insert into business_analytic.report.orenda values(2026, 2, '2021301900', 'Корюківка,Фора-541 Шевченка,73А', NULL, -257721.34, 'Orenda');</v>
      </c>
      <c r="M197" t="str">
        <f t="shared" si="9"/>
        <v>insert into business_analytic.report.orenda values(2026, 3, '2021301900', 'Корюківка,Фора-541 Шевченка,73А', NULL, -184250, 'Orenda');</v>
      </c>
      <c r="N197" t="str">
        <f t="shared" si="10"/>
        <v>insert into business_analytic.report.orenda values(2026, 4, '2021301900', 'Корюківка,Фора-541 Шевченка,73А', NULL, -435663.1, 'Orenda');</v>
      </c>
      <c r="O197" t="str">
        <f t="shared" si="10"/>
        <v>insert into business_analytic.report.orenda values(2026, 5, '2021301900', 'Корюківка,Фора-541 Шевченка,73А', NULL, -338986.21, 'Orenda');</v>
      </c>
    </row>
    <row r="198" spans="1:15" s="3" customFormat="1" x14ac:dyDescent="0.3">
      <c r="A198" t="s">
        <v>228</v>
      </c>
      <c r="B198" t="s">
        <v>591</v>
      </c>
      <c r="C198" t="s">
        <v>873</v>
      </c>
      <c r="D198" s="2">
        <v>-254100</v>
      </c>
      <c r="E198" s="2">
        <v>-254100</v>
      </c>
      <c r="F198" s="2">
        <v>-254100</v>
      </c>
      <c r="G198" s="2">
        <v>-279510</v>
      </c>
      <c r="H198" s="2">
        <v>-279510</v>
      </c>
      <c r="I198" s="2"/>
      <c r="J198" s="2">
        <v>-1321320</v>
      </c>
      <c r="K198" t="str">
        <f t="shared" si="8"/>
        <v>insert into business_analytic.report.orenda values(2026, 1, '2021400500', 'Звенигородка,Фора-481 Грушевського,140', NULL, -254100, 'Orenda');</v>
      </c>
      <c r="L198" t="str">
        <f t="shared" si="8"/>
        <v>insert into business_analytic.report.orenda values(2026, 2, '2021400500', 'Звенигородка,Фора-481 Грушевського,140', NULL, -254100, 'Orenda');</v>
      </c>
      <c r="M198" t="str">
        <f t="shared" si="9"/>
        <v>insert into business_analytic.report.orenda values(2026, 3, '2021400500', 'Звенигородка,Фора-481 Грушевського,140', NULL, -254100, 'Orenda');</v>
      </c>
      <c r="N198" t="str">
        <f t="shared" si="10"/>
        <v>insert into business_analytic.report.orenda values(2026, 4, '2021400500', 'Звенигородка,Фора-481 Грушевського,140', NULL, -279510, 'Orenda');</v>
      </c>
      <c r="O198" t="str">
        <f t="shared" si="10"/>
        <v>insert into business_analytic.report.orenda values(2026, 5, '2021400500', 'Звенигородка,Фора-481 Грушевського,140', NULL, -279510, 'Orenda');</v>
      </c>
    </row>
    <row r="199" spans="1:15" x14ac:dyDescent="0.3">
      <c r="A199" t="s">
        <v>229</v>
      </c>
      <c r="B199" t="s">
        <v>592</v>
      </c>
      <c r="C199" t="s">
        <v>874</v>
      </c>
      <c r="D199" s="2">
        <v>-250000</v>
      </c>
      <c r="E199" s="2">
        <v>-250000</v>
      </c>
      <c r="F199" s="2">
        <v>-250000</v>
      </c>
      <c r="G199" s="2">
        <v>-250000</v>
      </c>
      <c r="H199" s="2">
        <v>-250000</v>
      </c>
      <c r="I199" s="2"/>
      <c r="J199" s="2">
        <v>-1250000</v>
      </c>
      <c r="K199" t="str">
        <f t="shared" si="8"/>
        <v>insert into business_analytic.report.orenda values(2026, 1, '2021400700', 'Маньківка,Фора-470 Соборна,12', NULL, -250000, 'Orenda');</v>
      </c>
      <c r="L199" t="str">
        <f t="shared" si="8"/>
        <v>insert into business_analytic.report.orenda values(2026, 2, '2021400700', 'Маньківка,Фора-470 Соборна,12', NULL, -250000, 'Orenda');</v>
      </c>
      <c r="M199" t="str">
        <f t="shared" si="9"/>
        <v>insert into business_analytic.report.orenda values(2026, 3, '2021400700', 'Маньківка,Фора-470 Соборна,12', NULL, -250000, 'Orenda');</v>
      </c>
      <c r="N199" t="str">
        <f t="shared" si="10"/>
        <v>insert into business_analytic.report.orenda values(2026, 4, '2021400700', 'Маньківка,Фора-470 Соборна,12', NULL, -250000, 'Orenda');</v>
      </c>
      <c r="O199" t="str">
        <f t="shared" si="10"/>
        <v>insert into business_analytic.report.orenda values(2026, 5, '2021400700', 'Маньківка,Фора-470 Соборна,12', NULL, -250000, 'Orenda');</v>
      </c>
    </row>
    <row r="200" spans="1:15" x14ac:dyDescent="0.3">
      <c r="A200" t="s">
        <v>83</v>
      </c>
      <c r="B200" t="s">
        <v>593</v>
      </c>
      <c r="C200" t="s">
        <v>875</v>
      </c>
      <c r="D200" s="2">
        <v>-321858.17</v>
      </c>
      <c r="E200" s="2">
        <v>-298969.71999999997</v>
      </c>
      <c r="F200" s="2">
        <v>-348273.3</v>
      </c>
      <c r="G200" s="2">
        <v>-364506.91</v>
      </c>
      <c r="H200" s="2">
        <v>-379222.88</v>
      </c>
      <c r="I200" s="2"/>
      <c r="J200" s="2">
        <v>-1712830.9799999997</v>
      </c>
      <c r="K200" t="str">
        <f t="shared" ref="K200:L256" si="11">"insert into business_analytic.report.orenda values("&amp;2026&amp;", "&amp;D$7&amp;", '"&amp;$A200&amp;"', '"&amp;$B200&amp;"', "&amp;"NULL"&amp;", "&amp;IF(D200="",0,D200)&amp;", "&amp;"'Orenda'"&amp;");"</f>
        <v>insert into business_analytic.report.orenda values(2026, 1, '2021401200', 'Корс-Шевченківськ,Фора-484 Гер Майдану,7', NULL, -321858.17, 'Orenda');</v>
      </c>
      <c r="L200" t="str">
        <f t="shared" si="11"/>
        <v>insert into business_analytic.report.orenda values(2026, 2, '2021401200', 'Корс-Шевченківськ,Фора-484 Гер Майдану,7', NULL, -298969.72, 'Orenda');</v>
      </c>
      <c r="M200" t="str">
        <f t="shared" si="9"/>
        <v>insert into business_analytic.report.orenda values(2026, 3, '2021401200', 'Корс-Шевченківськ,Фора-484 Гер Майдану,7', NULL, -348273.3, 'Orenda');</v>
      </c>
      <c r="N200" t="str">
        <f t="shared" si="10"/>
        <v>insert into business_analytic.report.orenda values(2026, 4, '2021401200', 'Корс-Шевченківськ,Фора-484 Гер Майдану,7', NULL, -364506.91, 'Orenda');</v>
      </c>
      <c r="O200" t="str">
        <f t="shared" si="10"/>
        <v>insert into business_analytic.report.orenda values(2026, 5, '2021401200', 'Корс-Шевченківськ,Фора-484 Гер Майдану,7', NULL, -379222.88, 'Orenda');</v>
      </c>
    </row>
    <row r="201" spans="1:15" x14ac:dyDescent="0.3">
      <c r="A201" t="s">
        <v>230</v>
      </c>
      <c r="B201" t="s">
        <v>594</v>
      </c>
      <c r="C201" t="s">
        <v>876</v>
      </c>
      <c r="D201" s="2">
        <v>-293744</v>
      </c>
      <c r="E201" s="2">
        <v>-293744</v>
      </c>
      <c r="F201" s="2">
        <v>-338244</v>
      </c>
      <c r="G201" s="2">
        <v>-338244</v>
      </c>
      <c r="H201" s="2">
        <v>-338244</v>
      </c>
      <c r="I201" s="2"/>
      <c r="J201" s="2">
        <v>-1602220</v>
      </c>
      <c r="K201" t="str">
        <f t="shared" si="11"/>
        <v>insert into business_analytic.report.orenda values(2026, 1, '2021401300', 'Шпола,Фора-524 Соборна,33', NULL, -293744, 'Orenda');</v>
      </c>
      <c r="L201" t="str">
        <f t="shared" si="11"/>
        <v>insert into business_analytic.report.orenda values(2026, 2, '2021401300', 'Шпола,Фора-524 Соборна,33', NULL, -293744, 'Orenda');</v>
      </c>
      <c r="M201" t="str">
        <f t="shared" ref="M201:M255" si="12">"insert into business_analytic.report.orenda values("&amp;2026&amp;", "&amp;F$7&amp;", '"&amp;$A201&amp;"', '"&amp;$B201&amp;"', "&amp;"NULL"&amp;", "&amp;IF(F201="",0,F201)&amp;", "&amp;"'Orenda'"&amp;");"</f>
        <v>insert into business_analytic.report.orenda values(2026, 3, '2021401300', 'Шпола,Фора-524 Соборна,33', NULL, -338244, 'Orenda');</v>
      </c>
      <c r="N201" t="str">
        <f t="shared" ref="N201:O255" si="13">"insert into business_analytic.report.orenda values("&amp;2026&amp;", "&amp;G$7&amp;", '"&amp;$A201&amp;"', '"&amp;$B201&amp;"', "&amp;"NULL"&amp;", "&amp;IF(G201="",0,G201)&amp;", "&amp;"'Orenda'"&amp;");"</f>
        <v>insert into business_analytic.report.orenda values(2026, 4, '2021401300', 'Шпола,Фора-524 Соборна,33', NULL, -338244, 'Orenda');</v>
      </c>
      <c r="O201" t="str">
        <f t="shared" si="13"/>
        <v>insert into business_analytic.report.orenda values(2026, 5, '2021401300', 'Шпола,Фора-524 Соборна,33', NULL, -338244, 'Orenda');</v>
      </c>
    </row>
    <row r="202" spans="1:15" s="3" customFormat="1" x14ac:dyDescent="0.3">
      <c r="A202" t="s">
        <v>231</v>
      </c>
      <c r="B202" t="s">
        <v>595</v>
      </c>
      <c r="C202" t="s">
        <v>877</v>
      </c>
      <c r="D202" s="2">
        <v>-108333.33</v>
      </c>
      <c r="E202" s="2">
        <v>-81250</v>
      </c>
      <c r="F202" s="2">
        <v>-81250</v>
      </c>
      <c r="G202" s="2">
        <v>-81250</v>
      </c>
      <c r="H202" s="2">
        <v>-108333.33</v>
      </c>
      <c r="I202" s="2"/>
      <c r="J202" s="2">
        <v>-460416.66000000003</v>
      </c>
      <c r="K202" t="str">
        <f t="shared" si="11"/>
        <v>insert into business_analytic.report.orenda values(2026, 1, '2021401400', 'Гельмязів,Фора-534 Центральна,6', NULL, -108333.33, 'Orenda');</v>
      </c>
      <c r="L202" t="str">
        <f t="shared" si="11"/>
        <v>insert into business_analytic.report.orenda values(2026, 2, '2021401400', 'Гельмязів,Фора-534 Центральна,6', NULL, -81250, 'Orenda');</v>
      </c>
      <c r="M202" t="str">
        <f t="shared" si="12"/>
        <v>insert into business_analytic.report.orenda values(2026, 3, '2021401400', 'Гельмязів,Фора-534 Центральна,6', NULL, -81250, 'Orenda');</v>
      </c>
      <c r="N202" t="str">
        <f t="shared" si="13"/>
        <v>insert into business_analytic.report.orenda values(2026, 4, '2021401400', 'Гельмязів,Фора-534 Центральна,6', NULL, -81250, 'Orenda');</v>
      </c>
      <c r="O202" t="str">
        <f t="shared" si="13"/>
        <v>insert into business_analytic.report.orenda values(2026, 5, '2021401400', 'Гельмязів,Фора-534 Центральна,6', NULL, -108333.33, 'Orenda');</v>
      </c>
    </row>
    <row r="203" spans="1:15" x14ac:dyDescent="0.3">
      <c r="A203" t="s">
        <v>84</v>
      </c>
      <c r="B203" t="s">
        <v>596</v>
      </c>
      <c r="C203" t="s">
        <v>878</v>
      </c>
      <c r="D203" s="2">
        <v>-500400</v>
      </c>
      <c r="E203" s="2">
        <v>-500400</v>
      </c>
      <c r="F203" s="2">
        <v>-665400</v>
      </c>
      <c r="G203" s="2">
        <v>-665400</v>
      </c>
      <c r="H203" s="2">
        <v>-500400</v>
      </c>
      <c r="I203" s="2"/>
      <c r="J203" s="2">
        <v>-2832000</v>
      </c>
      <c r="K203" t="str">
        <f t="shared" si="11"/>
        <v>insert into business_analytic.report.orenda values(2026, 1, '2021401600', 'Умань,Фора-575 Захисників України,21Б', NULL, -500400, 'Orenda');</v>
      </c>
      <c r="L203" t="str">
        <f t="shared" si="11"/>
        <v>insert into business_analytic.report.orenda values(2026, 2, '2021401600', 'Умань,Фора-575 Захисників України,21Б', NULL, -500400, 'Orenda');</v>
      </c>
      <c r="M203" t="str">
        <f t="shared" si="12"/>
        <v>insert into business_analytic.report.orenda values(2026, 3, '2021401600', 'Умань,Фора-575 Захисників України,21Б', NULL, -665400, 'Orenda');</v>
      </c>
      <c r="N203" t="str">
        <f t="shared" si="13"/>
        <v>insert into business_analytic.report.orenda values(2026, 4, '2021401600', 'Умань,Фора-575 Захисників України,21Б', NULL, -665400, 'Orenda');</v>
      </c>
      <c r="O203" t="str">
        <f t="shared" si="13"/>
        <v>insert into business_analytic.report.orenda values(2026, 5, '2021401600', 'Умань,Фора-575 Захисників України,21Б', NULL, -500400, 'Orenda');</v>
      </c>
    </row>
    <row r="204" spans="1:15" x14ac:dyDescent="0.3">
      <c r="A204" t="s">
        <v>233</v>
      </c>
      <c r="B204" t="s">
        <v>598</v>
      </c>
      <c r="C204" t="s">
        <v>879</v>
      </c>
      <c r="D204" s="2">
        <v>-190825</v>
      </c>
      <c r="E204" s="2">
        <v>-190825</v>
      </c>
      <c r="F204" s="2">
        <v>-190825</v>
      </c>
      <c r="G204" s="2">
        <v>-190825</v>
      </c>
      <c r="H204" s="2">
        <v>-190825</v>
      </c>
      <c r="I204" s="2"/>
      <c r="J204" s="2">
        <v>-954125</v>
      </c>
      <c r="K204" t="str">
        <f t="shared" si="11"/>
        <v>insert into business_analytic.report.orenda values(2026, 1, '2021500100', 'Гайсин,Фора-201 1-го Травня,70А', NULL, -190825, 'Orenda');</v>
      </c>
      <c r="L204" t="str">
        <f t="shared" si="11"/>
        <v>insert into business_analytic.report.orenda values(2026, 2, '2021500100', 'Гайсин,Фора-201 1-го Травня,70А', NULL, -190825, 'Orenda');</v>
      </c>
      <c r="M204" t="str">
        <f t="shared" si="12"/>
        <v>insert into business_analytic.report.orenda values(2026, 3, '2021500100', 'Гайсин,Фора-201 1-го Травня,70А', NULL, -190825, 'Orenda');</v>
      </c>
      <c r="N204" t="str">
        <f t="shared" si="13"/>
        <v>insert into business_analytic.report.orenda values(2026, 4, '2021500100', 'Гайсин,Фора-201 1-го Травня,70А', NULL, -190825, 'Orenda');</v>
      </c>
      <c r="O204" t="str">
        <f t="shared" si="13"/>
        <v>insert into business_analytic.report.orenda values(2026, 5, '2021500100', 'Гайсин,Фора-201 1-го Травня,70А', NULL, -190825, 'Orenda');</v>
      </c>
    </row>
    <row r="205" spans="1:15" x14ac:dyDescent="0.3">
      <c r="A205" t="s">
        <v>234</v>
      </c>
      <c r="B205" t="s">
        <v>599</v>
      </c>
      <c r="C205" t="s">
        <v>880</v>
      </c>
      <c r="D205" s="2">
        <v>-232754</v>
      </c>
      <c r="E205" s="2">
        <v>-251374</v>
      </c>
      <c r="F205" s="2">
        <v>-251374</v>
      </c>
      <c r="G205" s="2">
        <v>-251374</v>
      </c>
      <c r="H205" s="2">
        <v>-251374</v>
      </c>
      <c r="I205" s="2"/>
      <c r="J205" s="2">
        <v>-1238250</v>
      </c>
      <c r="K205" t="str">
        <f t="shared" si="11"/>
        <v>insert into business_analytic.report.orenda values(2026, 1, '2021500200', 'Ладижин,Фора-213 Будівельників,15А', NULL, -232754, 'Orenda');</v>
      </c>
      <c r="L205" t="str">
        <f t="shared" si="11"/>
        <v>insert into business_analytic.report.orenda values(2026, 2, '2021500200', 'Ладижин,Фора-213 Будівельників,15А', NULL, -251374, 'Orenda');</v>
      </c>
      <c r="M205" t="str">
        <f t="shared" si="12"/>
        <v>insert into business_analytic.report.orenda values(2026, 3, '2021500200', 'Ладижин,Фора-213 Будівельників,15А', NULL, -251374, 'Orenda');</v>
      </c>
      <c r="N205" t="str">
        <f t="shared" si="13"/>
        <v>insert into business_analytic.report.orenda values(2026, 4, '2021500200', 'Ладижин,Фора-213 Будівельників,15А', NULL, -251374, 'Orenda');</v>
      </c>
      <c r="O205" t="str">
        <f t="shared" si="13"/>
        <v>insert into business_analytic.report.orenda values(2026, 5, '2021500200', 'Ладижин,Фора-213 Будівельників,15А', NULL, -251374, 'Orenda');</v>
      </c>
    </row>
    <row r="206" spans="1:15" x14ac:dyDescent="0.3">
      <c r="A206" t="s">
        <v>235</v>
      </c>
      <c r="B206" t="s">
        <v>600</v>
      </c>
      <c r="C206" t="s">
        <v>881</v>
      </c>
      <c r="D206" s="2">
        <v>-330000</v>
      </c>
      <c r="E206" s="2">
        <v>-330000</v>
      </c>
      <c r="F206" s="2">
        <v>-343238.70999999996</v>
      </c>
      <c r="G206" s="2">
        <v>-352800</v>
      </c>
      <c r="H206" s="2">
        <v>-352800</v>
      </c>
      <c r="I206" s="2"/>
      <c r="J206" s="2">
        <v>-1708838.71</v>
      </c>
      <c r="K206" t="str">
        <f t="shared" si="11"/>
        <v>insert into business_analytic.report.orenda values(2026, 1, '2021500800', 'Погребище,Фора-535 Хмельницького,107', NULL, -330000, 'Orenda');</v>
      </c>
      <c r="L206" t="str">
        <f t="shared" si="11"/>
        <v>insert into business_analytic.report.orenda values(2026, 2, '2021500800', 'Погребище,Фора-535 Хмельницького,107', NULL, -330000, 'Orenda');</v>
      </c>
      <c r="M206" t="str">
        <f t="shared" si="12"/>
        <v>insert into business_analytic.report.orenda values(2026, 3, '2021500800', 'Погребище,Фора-535 Хмельницького,107', NULL, -343238.71, 'Orenda');</v>
      </c>
      <c r="N206" t="str">
        <f t="shared" si="13"/>
        <v>insert into business_analytic.report.orenda values(2026, 4, '2021500800', 'Погребище,Фора-535 Хмельницького,107', NULL, -352800, 'Orenda');</v>
      </c>
      <c r="O206" t="str">
        <f t="shared" si="13"/>
        <v>insert into business_analytic.report.orenda values(2026, 5, '2021500800', 'Погребище,Фора-535 Хмельницького,107', NULL, -352800, 'Orenda');</v>
      </c>
    </row>
    <row r="207" spans="1:15" x14ac:dyDescent="0.3">
      <c r="A207" t="s">
        <v>236</v>
      </c>
      <c r="B207" t="s">
        <v>601</v>
      </c>
      <c r="C207" t="s">
        <v>882</v>
      </c>
      <c r="D207" s="2">
        <v>-382360</v>
      </c>
      <c r="E207" s="2">
        <v>-382360</v>
      </c>
      <c r="F207" s="2">
        <v>-412948.8</v>
      </c>
      <c r="G207" s="2">
        <v>-412948.8</v>
      </c>
      <c r="H207" s="2">
        <v>-412948.8</v>
      </c>
      <c r="I207" s="2"/>
      <c r="J207" s="2">
        <v>-2003566.4000000001</v>
      </c>
      <c r="K207" t="str">
        <f t="shared" si="11"/>
        <v>insert into business_analytic.report.orenda values(2026, 1, '2021500900', 'Вінниця,Фора-475 Чорновола,29Б', NULL, -382360, 'Orenda');</v>
      </c>
      <c r="L207" t="str">
        <f t="shared" si="11"/>
        <v>insert into business_analytic.report.orenda values(2026, 2, '2021500900', 'Вінниця,Фора-475 Чорновола,29Б', NULL, -382360, 'Orenda');</v>
      </c>
      <c r="M207" t="str">
        <f t="shared" si="12"/>
        <v>insert into business_analytic.report.orenda values(2026, 3, '2021500900', 'Вінниця,Фора-475 Чорновола,29Б', NULL, -412948.8, 'Orenda');</v>
      </c>
      <c r="N207" t="str">
        <f t="shared" si="13"/>
        <v>insert into business_analytic.report.orenda values(2026, 4, '2021500900', 'Вінниця,Фора-475 Чорновола,29Б', NULL, -412948.8, 'Orenda');</v>
      </c>
      <c r="O207" t="str">
        <f t="shared" si="13"/>
        <v>insert into business_analytic.report.orenda values(2026, 5, '2021500900', 'Вінниця,Фора-475 Чорновола,29Б', NULL, -412948.8, 'Orenda');</v>
      </c>
    </row>
    <row r="208" spans="1:15" x14ac:dyDescent="0.3">
      <c r="A208" t="s">
        <v>85</v>
      </c>
      <c r="B208" t="s">
        <v>602</v>
      </c>
      <c r="C208" t="s">
        <v>883</v>
      </c>
      <c r="D208" s="2">
        <v>-479727.75999999995</v>
      </c>
      <c r="E208" s="2">
        <v>-472589.04</v>
      </c>
      <c r="F208" s="2">
        <v>-543745.65</v>
      </c>
      <c r="G208" s="2">
        <v>-533874.6</v>
      </c>
      <c r="H208" s="2">
        <v>-555726.74</v>
      </c>
      <c r="I208" s="2"/>
      <c r="J208" s="2">
        <v>-2585663.79</v>
      </c>
      <c r="K208" t="str">
        <f t="shared" si="11"/>
        <v>insert into business_analytic.report.orenda values(2026, 1, '2021501000', 'Вінниця,Фора-478 600-річчя,17', NULL, -479727.76, 'Orenda');</v>
      </c>
      <c r="L208" t="str">
        <f t="shared" si="11"/>
        <v>insert into business_analytic.report.orenda values(2026, 2, '2021501000', 'Вінниця,Фора-478 600-річчя,17', NULL, -472589.04, 'Orenda');</v>
      </c>
      <c r="M208" t="str">
        <f t="shared" si="12"/>
        <v>insert into business_analytic.report.orenda values(2026, 3, '2021501000', 'Вінниця,Фора-478 600-річчя,17', NULL, -543745.65, 'Orenda');</v>
      </c>
      <c r="N208" t="str">
        <f t="shared" si="13"/>
        <v>insert into business_analytic.report.orenda values(2026, 4, '2021501000', 'Вінниця,Фора-478 600-річчя,17', NULL, -533874.6, 'Orenda');</v>
      </c>
      <c r="O208" t="str">
        <f t="shared" si="13"/>
        <v>insert into business_analytic.report.orenda values(2026, 5, '2021501000', 'Вінниця,Фора-478 600-річчя,17', NULL, -555726.74, 'Orenda');</v>
      </c>
    </row>
    <row r="209" spans="1:15" x14ac:dyDescent="0.3">
      <c r="A209" t="s">
        <v>86</v>
      </c>
      <c r="B209" t="s">
        <v>603</v>
      </c>
      <c r="C209" t="s">
        <v>884</v>
      </c>
      <c r="D209" s="2">
        <v>-333705.76999999996</v>
      </c>
      <c r="E209" s="2">
        <v>-322305.51</v>
      </c>
      <c r="F209" s="2">
        <v>-380538.89999999997</v>
      </c>
      <c r="G209" s="2">
        <v>-382726.93</v>
      </c>
      <c r="H209" s="2">
        <v>-380492.43</v>
      </c>
      <c r="I209" s="2"/>
      <c r="J209" s="2">
        <v>-1799769.5399999998</v>
      </c>
      <c r="K209" t="str">
        <f t="shared" si="11"/>
        <v>insert into business_analytic.report.orenda values(2026, 1, '2021501100', 'Вінниця,Фора-479 Коцюбинського,2А', NULL, -333705.77, 'Orenda');</v>
      </c>
      <c r="L209" t="str">
        <f t="shared" si="11"/>
        <v>insert into business_analytic.report.orenda values(2026, 2, '2021501100', 'Вінниця,Фора-479 Коцюбинського,2А', NULL, -322305.51, 'Orenda');</v>
      </c>
      <c r="M209" t="str">
        <f t="shared" si="12"/>
        <v>insert into business_analytic.report.orenda values(2026, 3, '2021501100', 'Вінниця,Фора-479 Коцюбинського,2А', NULL, -380538.9, 'Orenda');</v>
      </c>
      <c r="N209" t="str">
        <f t="shared" si="13"/>
        <v>insert into business_analytic.report.orenda values(2026, 4, '2021501100', 'Вінниця,Фора-479 Коцюбинського,2А', NULL, -382726.93, 'Orenda');</v>
      </c>
      <c r="O209" t="str">
        <f t="shared" si="13"/>
        <v>insert into business_analytic.report.orenda values(2026, 5, '2021501100', 'Вінниця,Фора-479 Коцюбинського,2А', NULL, -380492.43, 'Orenda');</v>
      </c>
    </row>
    <row r="210" spans="1:15" x14ac:dyDescent="0.3">
      <c r="A210" t="s">
        <v>87</v>
      </c>
      <c r="B210" t="s">
        <v>604</v>
      </c>
      <c r="C210" t="s">
        <v>885</v>
      </c>
      <c r="D210" s="2">
        <v>-240000</v>
      </c>
      <c r="E210" s="2">
        <v>-240000</v>
      </c>
      <c r="F210" s="2">
        <v>-240000</v>
      </c>
      <c r="G210" s="2">
        <v>-264000</v>
      </c>
      <c r="H210" s="2">
        <v>-264000</v>
      </c>
      <c r="I210" s="2"/>
      <c r="J210" s="2">
        <v>-1248000</v>
      </c>
      <c r="K210" t="str">
        <f t="shared" si="11"/>
        <v>insert into business_analytic.report.orenda values(2026, 1, '2021501200', 'Хмільник,Фора-482 Свободи,21Б', NULL, -240000, 'Orenda');</v>
      </c>
      <c r="L210" t="str">
        <f t="shared" si="11"/>
        <v>insert into business_analytic.report.orenda values(2026, 2, '2021501200', 'Хмільник,Фора-482 Свободи,21Б', NULL, -240000, 'Orenda');</v>
      </c>
      <c r="M210" t="str">
        <f t="shared" si="12"/>
        <v>insert into business_analytic.report.orenda values(2026, 3, '2021501200', 'Хмільник,Фора-482 Свободи,21Б', NULL, -240000, 'Orenda');</v>
      </c>
      <c r="N210" t="str">
        <f t="shared" si="13"/>
        <v>insert into business_analytic.report.orenda values(2026, 4, '2021501200', 'Хмільник,Фора-482 Свободи,21Б', NULL, -264000, 'Orenda');</v>
      </c>
      <c r="O210" t="str">
        <f t="shared" si="13"/>
        <v>insert into business_analytic.report.orenda values(2026, 5, '2021501200', 'Хмільник,Фора-482 Свободи,21Б', NULL, -264000, 'Orenda');</v>
      </c>
    </row>
    <row r="211" spans="1:15" x14ac:dyDescent="0.3">
      <c r="A211" t="s">
        <v>237</v>
      </c>
      <c r="B211" t="s">
        <v>605</v>
      </c>
      <c r="C211" t="s">
        <v>886</v>
      </c>
      <c r="D211" s="2">
        <v>-312379.2</v>
      </c>
      <c r="E211" s="2">
        <v>-312379.2</v>
      </c>
      <c r="F211" s="2">
        <v>-312379.2</v>
      </c>
      <c r="G211" s="2">
        <v>-312379.2</v>
      </c>
      <c r="H211" s="2">
        <v>-312379.2</v>
      </c>
      <c r="I211" s="2"/>
      <c r="J211" s="2">
        <v>-1561896</v>
      </c>
      <c r="K211" t="str">
        <f t="shared" si="11"/>
        <v>insert into business_analytic.report.orenda values(2026, 1, '2021501300', 'Тульчин,Фора-488 Леонтовича,50', NULL, -312379.2, 'Orenda');</v>
      </c>
      <c r="L211" t="str">
        <f t="shared" si="11"/>
        <v>insert into business_analytic.report.orenda values(2026, 2, '2021501300', 'Тульчин,Фора-488 Леонтовича,50', NULL, -312379.2, 'Orenda');</v>
      </c>
      <c r="M211" t="str">
        <f t="shared" si="12"/>
        <v>insert into business_analytic.report.orenda values(2026, 3, '2021501300', 'Тульчин,Фора-488 Леонтовича,50', NULL, -312379.2, 'Orenda');</v>
      </c>
      <c r="N211" t="str">
        <f t="shared" si="13"/>
        <v>insert into business_analytic.report.orenda values(2026, 4, '2021501300', 'Тульчин,Фора-488 Леонтовича,50', NULL, -312379.2, 'Orenda');</v>
      </c>
      <c r="O211" t="str">
        <f t="shared" si="13"/>
        <v>insert into business_analytic.report.orenda values(2026, 5, '2021501300', 'Тульчин,Фора-488 Леонтовича,50', NULL, -312379.2, 'Orenda');</v>
      </c>
    </row>
    <row r="212" spans="1:15" x14ac:dyDescent="0.3">
      <c r="A212" t="s">
        <v>88</v>
      </c>
      <c r="B212" t="s">
        <v>606</v>
      </c>
      <c r="C212" t="s">
        <v>887</v>
      </c>
      <c r="D212" s="2">
        <v>-420396.26</v>
      </c>
      <c r="E212" s="2">
        <v>-392493.29</v>
      </c>
      <c r="F212" s="2">
        <v>-444201.68</v>
      </c>
      <c r="G212" s="2">
        <v>-488895.06999999995</v>
      </c>
      <c r="H212" s="2">
        <v>-509014.37</v>
      </c>
      <c r="I212" s="2"/>
      <c r="J212" s="2">
        <v>-2255000.67</v>
      </c>
      <c r="K212" t="str">
        <f t="shared" si="11"/>
        <v>insert into business_analytic.report.orenda values(2026, 1, '2021501400', 'Літин,Фора-492 Соборна,22', NULL, -420396.26, 'Orenda');</v>
      </c>
      <c r="L212" t="str">
        <f t="shared" si="11"/>
        <v>insert into business_analytic.report.orenda values(2026, 2, '2021501400', 'Літин,Фора-492 Соборна,22', NULL, -392493.29, 'Orenda');</v>
      </c>
      <c r="M212" t="str">
        <f t="shared" si="12"/>
        <v>insert into business_analytic.report.orenda values(2026, 3, '2021501400', 'Літин,Фора-492 Соборна,22', NULL, -444201.68, 'Orenda');</v>
      </c>
      <c r="N212" t="str">
        <f t="shared" si="13"/>
        <v>insert into business_analytic.report.orenda values(2026, 4, '2021501400', 'Літин,Фора-492 Соборна,22', NULL, -488895.07, 'Orenda');</v>
      </c>
      <c r="O212" t="str">
        <f t="shared" si="13"/>
        <v>insert into business_analytic.report.orenda values(2026, 5, '2021501400', 'Літин,Фора-492 Соборна,22', NULL, -509014.37, 'Orenda');</v>
      </c>
    </row>
    <row r="213" spans="1:15" x14ac:dyDescent="0.3">
      <c r="A213" t="s">
        <v>238</v>
      </c>
      <c r="B213" t="s">
        <v>607</v>
      </c>
      <c r="C213" t="s">
        <v>888</v>
      </c>
      <c r="D213" s="2">
        <v>-402217.17</v>
      </c>
      <c r="E213" s="2">
        <v>-201108.59</v>
      </c>
      <c r="F213" s="2">
        <v>-201108.59</v>
      </c>
      <c r="G213" s="2">
        <v>-201108.59</v>
      </c>
      <c r="H213" s="2">
        <v>-402217.17</v>
      </c>
      <c r="I213" s="2"/>
      <c r="J213" s="2">
        <v>-1407760.1099999999</v>
      </c>
      <c r="K213" t="str">
        <f t="shared" si="11"/>
        <v>insert into business_analytic.report.orenda values(2026, 1, '2021501500', 'Летичів,Фора-493 Шевченка,1А', NULL, -402217.17, 'Orenda');</v>
      </c>
      <c r="L213" t="str">
        <f t="shared" si="11"/>
        <v>insert into business_analytic.report.orenda values(2026, 2, '2021501500', 'Летичів,Фора-493 Шевченка,1А', NULL, -201108.59, 'Orenda');</v>
      </c>
      <c r="M213" t="str">
        <f t="shared" si="12"/>
        <v>insert into business_analytic.report.orenda values(2026, 3, '2021501500', 'Летичів,Фора-493 Шевченка,1А', NULL, -201108.59, 'Orenda');</v>
      </c>
      <c r="N213" t="str">
        <f t="shared" si="13"/>
        <v>insert into business_analytic.report.orenda values(2026, 4, '2021501500', 'Летичів,Фора-493 Шевченка,1А', NULL, -201108.59, 'Orenda');</v>
      </c>
      <c r="O213" t="str">
        <f t="shared" si="13"/>
        <v>insert into business_analytic.report.orenda values(2026, 5, '2021501500', 'Летичів,Фора-493 Шевченка,1А', NULL, -402217.17, 'Orenda');</v>
      </c>
    </row>
    <row r="214" spans="1:15" x14ac:dyDescent="0.3">
      <c r="A214" t="s">
        <v>239</v>
      </c>
      <c r="B214" t="s">
        <v>608</v>
      </c>
      <c r="C214" t="s">
        <v>871</v>
      </c>
      <c r="D214" s="2">
        <v>-350000</v>
      </c>
      <c r="E214" s="2">
        <v>-350000</v>
      </c>
      <c r="F214" s="2">
        <v>-350000</v>
      </c>
      <c r="G214" s="2">
        <v>-372400</v>
      </c>
      <c r="H214" s="2">
        <v>-378000</v>
      </c>
      <c r="I214" s="2"/>
      <c r="J214" s="2">
        <v>-1800400</v>
      </c>
      <c r="K214" t="str">
        <f t="shared" si="11"/>
        <v>insert into business_analytic.report.orenda values(2026, 1, '2021501600', 'Іллінці,Фора-542 Європейська,22', NULL, -350000, 'Orenda');</v>
      </c>
      <c r="L214" t="str">
        <f t="shared" si="11"/>
        <v>insert into business_analytic.report.orenda values(2026, 2, '2021501600', 'Іллінці,Фора-542 Європейська,22', NULL, -350000, 'Orenda');</v>
      </c>
      <c r="M214" t="str">
        <f t="shared" si="12"/>
        <v>insert into business_analytic.report.orenda values(2026, 3, '2021501600', 'Іллінці,Фора-542 Європейська,22', NULL, -350000, 'Orenda');</v>
      </c>
      <c r="N214" t="str">
        <f t="shared" si="13"/>
        <v>insert into business_analytic.report.orenda values(2026, 4, '2021501600', 'Іллінці,Фора-542 Європейська,22', NULL, -372400, 'Orenda');</v>
      </c>
      <c r="O214" t="str">
        <f t="shared" si="13"/>
        <v>insert into business_analytic.report.orenda values(2026, 5, '2021501600', 'Іллінці,Фора-542 Європейська,22', NULL, -378000, 'Orenda');</v>
      </c>
    </row>
    <row r="215" spans="1:15" x14ac:dyDescent="0.3">
      <c r="A215" t="s">
        <v>240</v>
      </c>
      <c r="B215" t="s">
        <v>609</v>
      </c>
      <c r="C215" t="s">
        <v>889</v>
      </c>
      <c r="D215" s="2">
        <v>-273125</v>
      </c>
      <c r="E215" s="2">
        <v>-220000</v>
      </c>
      <c r="F215" s="2">
        <v>-220000</v>
      </c>
      <c r="G215" s="2">
        <v>-220000</v>
      </c>
      <c r="H215" s="2">
        <v>-273125</v>
      </c>
      <c r="I215" s="2"/>
      <c r="J215" s="2">
        <v>-1206250</v>
      </c>
      <c r="K215" t="str">
        <f t="shared" si="11"/>
        <v>insert into business_analytic.report.orenda values(2026, 1, '2021502000', 'Гнівань,Фора-518 Соборна,45', NULL, -273125, 'Orenda');</v>
      </c>
      <c r="L215" t="str">
        <f t="shared" si="11"/>
        <v>insert into business_analytic.report.orenda values(2026, 2, '2021502000', 'Гнівань,Фора-518 Соборна,45', NULL, -220000, 'Orenda');</v>
      </c>
      <c r="M215" t="str">
        <f t="shared" si="12"/>
        <v>insert into business_analytic.report.orenda values(2026, 3, '2021502000', 'Гнівань,Фора-518 Соборна,45', NULL, -220000, 'Orenda');</v>
      </c>
      <c r="N215" t="str">
        <f t="shared" si="13"/>
        <v>insert into business_analytic.report.orenda values(2026, 4, '2021502000', 'Гнівань,Фора-518 Соборна,45', NULL, -220000, 'Orenda');</v>
      </c>
      <c r="O215" t="str">
        <f t="shared" si="13"/>
        <v>insert into business_analytic.report.orenda values(2026, 5, '2021502000', 'Гнівань,Фора-518 Соборна,45', NULL, -273125, 'Orenda');</v>
      </c>
    </row>
    <row r="216" spans="1:15" x14ac:dyDescent="0.3">
      <c r="A216" t="s">
        <v>241</v>
      </c>
      <c r="B216" t="s">
        <v>610</v>
      </c>
      <c r="C216" t="s">
        <v>890</v>
      </c>
      <c r="D216" s="2">
        <v>-221100</v>
      </c>
      <c r="E216" s="2">
        <v>-221100</v>
      </c>
      <c r="F216" s="2">
        <v>-221100</v>
      </c>
      <c r="G216" s="2">
        <v>-221100</v>
      </c>
      <c r="H216" s="2">
        <v>-221100</v>
      </c>
      <c r="I216" s="2"/>
      <c r="J216" s="2">
        <v>-1105500</v>
      </c>
      <c r="K216" t="str">
        <f t="shared" si="11"/>
        <v>insert into business_analytic.report.orenda values(2026, 1, '2021502200', 'Теплик,Фора-503 Незалежності,28', NULL, -221100, 'Orenda');</v>
      </c>
      <c r="L216" t="str">
        <f t="shared" si="11"/>
        <v>insert into business_analytic.report.orenda values(2026, 2, '2021502200', 'Теплик,Фора-503 Незалежності,28', NULL, -221100, 'Orenda');</v>
      </c>
      <c r="M216" t="str">
        <f t="shared" si="12"/>
        <v>insert into business_analytic.report.orenda values(2026, 3, '2021502200', 'Теплик,Фора-503 Незалежності,28', NULL, -221100, 'Orenda');</v>
      </c>
      <c r="N216" t="str">
        <f t="shared" si="13"/>
        <v>insert into business_analytic.report.orenda values(2026, 4, '2021502200', 'Теплик,Фора-503 Незалежності,28', NULL, -221100, 'Orenda');</v>
      </c>
      <c r="O216" t="str">
        <f t="shared" si="13"/>
        <v>insert into business_analytic.report.orenda values(2026, 5, '2021502200', 'Теплик,Фора-503 Незалежності,28', NULL, -221100, 'Orenda');</v>
      </c>
    </row>
    <row r="217" spans="1:15" x14ac:dyDescent="0.3">
      <c r="A217" t="s">
        <v>89</v>
      </c>
      <c r="B217" t="s">
        <v>611</v>
      </c>
      <c r="C217" t="s">
        <v>891</v>
      </c>
      <c r="D217" s="2">
        <v>-589795.92999999993</v>
      </c>
      <c r="E217" s="2">
        <v>-563133.21</v>
      </c>
      <c r="F217" s="2">
        <v>-582981.66999999993</v>
      </c>
      <c r="G217" s="2">
        <v>-565348.79999999993</v>
      </c>
      <c r="H217" s="2">
        <v>-570784.41999999993</v>
      </c>
      <c r="I217" s="2">
        <v>-76892.819999999992</v>
      </c>
      <c r="J217" s="2">
        <v>-2948936.8499999996</v>
      </c>
      <c r="K217" t="str">
        <f t="shared" si="11"/>
        <v>insert into business_analytic.report.orenda values(2026, 1, '2022102300', 'Рівне,Фора-474 Київська,10', NULL, -589795.93, 'Orenda');</v>
      </c>
      <c r="L217" t="str">
        <f t="shared" si="11"/>
        <v>insert into business_analytic.report.orenda values(2026, 2, '2022102300', 'Рівне,Фора-474 Київська,10', NULL, -563133.21, 'Orenda');</v>
      </c>
      <c r="M217" t="str">
        <f t="shared" si="12"/>
        <v>insert into business_analytic.report.orenda values(2026, 3, '2022102300', 'Рівне,Фора-474 Київська,10', NULL, -582981.67, 'Orenda');</v>
      </c>
      <c r="N217" t="str">
        <f t="shared" si="13"/>
        <v>insert into business_analytic.report.orenda values(2026, 4, '2022102300', 'Рівне,Фора-474 Київська,10', NULL, -565348.8, 'Orenda');</v>
      </c>
      <c r="O217" t="str">
        <f t="shared" si="13"/>
        <v>insert into business_analytic.report.orenda values(2026, 5, '2022102300', 'Рівне,Фора-474 Київська,10', NULL, -570784.42, 'Orenda');</v>
      </c>
    </row>
    <row r="218" spans="1:15" x14ac:dyDescent="0.3">
      <c r="A218" t="s">
        <v>242</v>
      </c>
      <c r="B218" t="s">
        <v>612</v>
      </c>
      <c r="C218" t="s">
        <v>892</v>
      </c>
      <c r="D218" s="2">
        <v>-460000</v>
      </c>
      <c r="E218" s="2">
        <v>-460000</v>
      </c>
      <c r="F218" s="2">
        <v>-460000</v>
      </c>
      <c r="G218" s="2">
        <v>-460000</v>
      </c>
      <c r="H218" s="2">
        <v>-460000</v>
      </c>
      <c r="I218" s="2"/>
      <c r="J218" s="2">
        <v>-2300000</v>
      </c>
      <c r="K218" t="str">
        <f t="shared" si="11"/>
        <v>insert into business_analytic.report.orenda values(2026, 1, '2022102400', 'Рівне,Фора-500 Сагайдачного,4А', NULL, -460000, 'Orenda');</v>
      </c>
      <c r="L218" t="str">
        <f t="shared" si="11"/>
        <v>insert into business_analytic.report.orenda values(2026, 2, '2022102400', 'Рівне,Фора-500 Сагайдачного,4А', NULL, -460000, 'Orenda');</v>
      </c>
      <c r="M218" t="str">
        <f t="shared" si="12"/>
        <v>insert into business_analytic.report.orenda values(2026, 3, '2022102400', 'Рівне,Фора-500 Сагайдачного,4А', NULL, -460000, 'Orenda');</v>
      </c>
      <c r="N218" t="str">
        <f t="shared" si="13"/>
        <v>insert into business_analytic.report.orenda values(2026, 4, '2022102400', 'Рівне,Фора-500 Сагайдачного,4А', NULL, -460000, 'Orenda');</v>
      </c>
      <c r="O218" t="str">
        <f t="shared" si="13"/>
        <v>insert into business_analytic.report.orenda values(2026, 5, '2022102400', 'Рівне,Фора-500 Сагайдачного,4А', NULL, -460000, 'Orenda');</v>
      </c>
    </row>
    <row r="219" spans="1:15" x14ac:dyDescent="0.3">
      <c r="A219" t="s">
        <v>244</v>
      </c>
      <c r="B219" t="s">
        <v>616</v>
      </c>
      <c r="C219" t="s">
        <v>893</v>
      </c>
      <c r="D219" s="2">
        <v>-159687.5</v>
      </c>
      <c r="E219" s="2">
        <v>-159687.5</v>
      </c>
      <c r="F219" s="2">
        <v>-316889.14999999997</v>
      </c>
      <c r="G219" s="2">
        <v>-313095.08999999997</v>
      </c>
      <c r="H219" s="2">
        <v>-312495.5</v>
      </c>
      <c r="I219" s="2"/>
      <c r="J219" s="2">
        <v>-1261854.7399999998</v>
      </c>
      <c r="K219" t="str">
        <f t="shared" si="11"/>
        <v>insert into business_analytic.report.orenda values(2026, 1, '2022102800', 'Сарни,Фора-581 Польська,1(Сам)', NULL, -159687.5, 'Orenda');</v>
      </c>
      <c r="L219" t="str">
        <f t="shared" si="11"/>
        <v>insert into business_analytic.report.orenda values(2026, 2, '2022102800', 'Сарни,Фора-581 Польська,1(Сам)', NULL, -159687.5, 'Orenda');</v>
      </c>
      <c r="M219" t="str">
        <f t="shared" si="12"/>
        <v>insert into business_analytic.report.orenda values(2026, 3, '2022102800', 'Сарни,Фора-581 Польська,1(Сам)', NULL, -316889.15, 'Orenda');</v>
      </c>
      <c r="N219" t="str">
        <f t="shared" si="13"/>
        <v>insert into business_analytic.report.orenda values(2026, 4, '2022102800', 'Сарни,Фора-581 Польська,1(Сам)', NULL, -313095.09, 'Orenda');</v>
      </c>
      <c r="O219" t="str">
        <f t="shared" si="13"/>
        <v>insert into business_analytic.report.orenda values(2026, 5, '2022102800', 'Сарни,Фора-581 Польська,1(Сам)', NULL, -312495.5, 'Orenda');</v>
      </c>
    </row>
    <row r="220" spans="1:15" s="3" customFormat="1" x14ac:dyDescent="0.3">
      <c r="A220" t="s">
        <v>245</v>
      </c>
      <c r="B220" t="s">
        <v>617</v>
      </c>
      <c r="C220" t="s">
        <v>893</v>
      </c>
      <c r="D220" s="2">
        <v>-275763.5</v>
      </c>
      <c r="E220" s="2">
        <v>-275763.5</v>
      </c>
      <c r="F220" s="2">
        <v>-575291.5</v>
      </c>
      <c r="G220" s="2">
        <v>-581146.29999999993</v>
      </c>
      <c r="H220" s="2">
        <v>-581835.1</v>
      </c>
      <c r="I220" s="2"/>
      <c r="J220" s="2">
        <v>-2289799.9</v>
      </c>
      <c r="K220" t="str">
        <f t="shared" si="11"/>
        <v>insert into business_analytic.report.orenda values(2026, 1, '2022102900', 'Сарни,Фора-582 Європейська,31(Сам)', NULL, -275763.5, 'Orenda');</v>
      </c>
      <c r="L220" t="str">
        <f t="shared" si="11"/>
        <v>insert into business_analytic.report.orenda values(2026, 2, '2022102900', 'Сарни,Фора-582 Європейська,31(Сам)', NULL, -275763.5, 'Orenda');</v>
      </c>
      <c r="M220" t="str">
        <f t="shared" si="12"/>
        <v>insert into business_analytic.report.orenda values(2026, 3, '2022102900', 'Сарни,Фора-582 Європейська,31(Сам)', NULL, -575291.5, 'Orenda');</v>
      </c>
      <c r="N220" t="str">
        <f t="shared" si="13"/>
        <v>insert into business_analytic.report.orenda values(2026, 4, '2022102900', 'Сарни,Фора-582 Європейська,31(Сам)', NULL, -581146.3, 'Orenda');</v>
      </c>
      <c r="O220" t="str">
        <f t="shared" si="13"/>
        <v>insert into business_analytic.report.orenda values(2026, 5, '2022102900', 'Сарни,Фора-582 Європейська,31(Сам)', NULL, -581835.1, 'Orenda');</v>
      </c>
    </row>
    <row r="221" spans="1:15" x14ac:dyDescent="0.3">
      <c r="A221" t="s">
        <v>246</v>
      </c>
      <c r="B221" t="s">
        <v>618</v>
      </c>
      <c r="C221" t="s">
        <v>828</v>
      </c>
      <c r="D221" s="2">
        <v>-280000</v>
      </c>
      <c r="E221" s="2">
        <v>-280000</v>
      </c>
      <c r="F221" s="2">
        <v>-280000</v>
      </c>
      <c r="G221" s="2">
        <v>-280000</v>
      </c>
      <c r="H221" s="2">
        <v>-280000</v>
      </c>
      <c r="I221" s="2"/>
      <c r="J221" s="2">
        <v>-1400000</v>
      </c>
      <c r="K221" t="str">
        <f t="shared" si="11"/>
        <v>insert into business_analytic.report.orenda values(2026, 1, '2022300100', 'Кам'янка-Бузька,Фора-502 Тютюнника,7Б', NULL, -280000, 'Orenda');</v>
      </c>
      <c r="L221" t="str">
        <f t="shared" si="11"/>
        <v>insert into business_analytic.report.orenda values(2026, 2, '2022300100', 'Кам'янка-Бузька,Фора-502 Тютюнника,7Б', NULL, -280000, 'Orenda');</v>
      </c>
      <c r="M221" t="str">
        <f t="shared" si="12"/>
        <v>insert into business_analytic.report.orenda values(2026, 3, '2022300100', 'Кам'янка-Бузька,Фора-502 Тютюнника,7Б', NULL, -280000, 'Orenda');</v>
      </c>
      <c r="N221" t="str">
        <f t="shared" si="13"/>
        <v>insert into business_analytic.report.orenda values(2026, 4, '2022300100', 'Кам'янка-Бузька,Фора-502 Тютюнника,7Б', NULL, -280000, 'Orenda');</v>
      </c>
      <c r="O221" t="str">
        <f t="shared" si="13"/>
        <v>insert into business_analytic.report.orenda values(2026, 5, '2022300100', 'Кам'янка-Бузька,Фора-502 Тютюнника,7Б', NULL, -280000, 'Orenda');</v>
      </c>
    </row>
    <row r="222" spans="1:15" x14ac:dyDescent="0.3">
      <c r="A222" t="s">
        <v>247</v>
      </c>
      <c r="B222" t="s">
        <v>619</v>
      </c>
      <c r="C222" t="s">
        <v>427</v>
      </c>
      <c r="D222" s="2">
        <v>-122472</v>
      </c>
      <c r="E222" s="2">
        <v>-122472</v>
      </c>
      <c r="F222" s="2">
        <v>-122472</v>
      </c>
      <c r="G222" s="2">
        <v>-122472</v>
      </c>
      <c r="H222" s="2">
        <v>-122472</v>
      </c>
      <c r="I222" s="2"/>
      <c r="J222" s="2">
        <v>-612360</v>
      </c>
      <c r="K222" t="str">
        <f t="shared" si="11"/>
        <v>insert into business_analytic.report.orenda values(2026, 1, '2022300200', 'Миколаїв,Фора-511 Чайковського,18', NULL, -122472, 'Orenda');</v>
      </c>
      <c r="L222" t="str">
        <f t="shared" si="11"/>
        <v>insert into business_analytic.report.orenda values(2026, 2, '2022300200', 'Миколаїв,Фора-511 Чайковського,18', NULL, -122472, 'Orenda');</v>
      </c>
      <c r="M222" t="str">
        <f t="shared" si="12"/>
        <v>insert into business_analytic.report.orenda values(2026, 3, '2022300200', 'Миколаїв,Фора-511 Чайковського,18', NULL, -122472, 'Orenda');</v>
      </c>
      <c r="N222" t="str">
        <f t="shared" si="13"/>
        <v>insert into business_analytic.report.orenda values(2026, 4, '2022300200', 'Миколаїв,Фора-511 Чайковського,18', NULL, -122472, 'Orenda');</v>
      </c>
      <c r="O222" t="str">
        <f t="shared" si="13"/>
        <v>insert into business_analytic.report.orenda values(2026, 5, '2022300200', 'Миколаїв,Фора-511 Чайковського,18', NULL, -122472, 'Orenda');</v>
      </c>
    </row>
    <row r="223" spans="1:15" x14ac:dyDescent="0.3">
      <c r="A223" t="s">
        <v>91</v>
      </c>
      <c r="B223" t="s">
        <v>620</v>
      </c>
      <c r="C223" t="s">
        <v>834</v>
      </c>
      <c r="D223" s="2">
        <v>-300000</v>
      </c>
      <c r="E223" s="2">
        <v>-300000</v>
      </c>
      <c r="F223" s="2">
        <v>-300000</v>
      </c>
      <c r="G223" s="2">
        <v>-308584.27999999997</v>
      </c>
      <c r="H223" s="2">
        <v>-351278.5</v>
      </c>
      <c r="I223" s="2"/>
      <c r="J223" s="2">
        <v>-1559862.78</v>
      </c>
      <c r="K223" t="str">
        <f t="shared" si="11"/>
        <v>insert into business_analytic.report.orenda values(2026, 1, '2022400300', 'Бережани,Фора-509 Тернопільська,9', NULL, -300000, 'Orenda');</v>
      </c>
      <c r="L223" t="str">
        <f t="shared" si="11"/>
        <v>insert into business_analytic.report.orenda values(2026, 2, '2022400300', 'Бережани,Фора-509 Тернопільська,9', NULL, -300000, 'Orenda');</v>
      </c>
      <c r="M223" t="str">
        <f t="shared" si="12"/>
        <v>insert into business_analytic.report.orenda values(2026, 3, '2022400300', 'Бережани,Фора-509 Тернопільська,9', NULL, -300000, 'Orenda');</v>
      </c>
      <c r="N223" t="str">
        <f t="shared" si="13"/>
        <v>insert into business_analytic.report.orenda values(2026, 4, '2022400300', 'Бережани,Фора-509 Тернопільська,9', NULL, -308584.28, 'Orenda');</v>
      </c>
      <c r="O223" t="str">
        <f t="shared" si="13"/>
        <v>insert into business_analytic.report.orenda values(2026, 5, '2022400300', 'Бережани,Фора-509 Тернопільська,9', NULL, -351278.5, 'Orenda');</v>
      </c>
    </row>
    <row r="224" spans="1:15" x14ac:dyDescent="0.3">
      <c r="A224" t="s">
        <v>248</v>
      </c>
      <c r="B224" t="s">
        <v>621</v>
      </c>
      <c r="C224" t="s">
        <v>894</v>
      </c>
      <c r="D224" s="2">
        <v>-250000</v>
      </c>
      <c r="E224" s="2">
        <v>-250000</v>
      </c>
      <c r="F224" s="2">
        <v>-250000</v>
      </c>
      <c r="G224" s="2">
        <v>-250000</v>
      </c>
      <c r="H224" s="2">
        <v>-250000</v>
      </c>
      <c r="I224" s="2"/>
      <c r="J224" s="2">
        <v>-1250000</v>
      </c>
      <c r="K224" t="str">
        <f t="shared" si="11"/>
        <v>insert into business_analytic.report.orenda values(2026, 1, '2022800100', 'Старокостянтинів,Фора-239 Миру,19/2', NULL, -250000, 'Orenda');</v>
      </c>
      <c r="L224" t="str">
        <f t="shared" si="11"/>
        <v>insert into business_analytic.report.orenda values(2026, 2, '2022800100', 'Старокостянтинів,Фора-239 Миру,19/2', NULL, -250000, 'Orenda');</v>
      </c>
      <c r="M224" t="str">
        <f t="shared" si="12"/>
        <v>insert into business_analytic.report.orenda values(2026, 3, '2022800100', 'Старокостянтинів,Фора-239 Миру,19/2', NULL, -250000, 'Orenda');</v>
      </c>
      <c r="N224" t="str">
        <f t="shared" si="13"/>
        <v>insert into business_analytic.report.orenda values(2026, 4, '2022800100', 'Старокостянтинів,Фора-239 Миру,19/2', NULL, -250000, 'Orenda');</v>
      </c>
      <c r="O224" t="str">
        <f t="shared" si="13"/>
        <v>insert into business_analytic.report.orenda values(2026, 5, '2022800100', 'Старокостянтинів,Фора-239 Миру,19/2', NULL, -250000, 'Orenda');</v>
      </c>
    </row>
    <row r="225" spans="1:15" x14ac:dyDescent="0.3">
      <c r="A225" t="s">
        <v>249</v>
      </c>
      <c r="B225" t="s">
        <v>622</v>
      </c>
      <c r="C225" t="s">
        <v>895</v>
      </c>
      <c r="D225" s="2">
        <v>-699016.5</v>
      </c>
      <c r="E225" s="2">
        <v>-718988.4</v>
      </c>
      <c r="F225" s="2">
        <v>-718988.4</v>
      </c>
      <c r="G225" s="2">
        <v>-718988.4</v>
      </c>
      <c r="H225" s="2">
        <v>-718988.4</v>
      </c>
      <c r="I225" s="2"/>
      <c r="J225" s="2">
        <v>-3574970.0999999996</v>
      </c>
      <c r="K225" t="str">
        <f t="shared" si="11"/>
        <v>insert into business_analytic.report.orenda values(2026, 1, '2022800700', 'Полонне,Фора-528 Лесі Українки,174Б', NULL, -699016.5, 'Orenda');</v>
      </c>
      <c r="L225" t="str">
        <f t="shared" si="11"/>
        <v>insert into business_analytic.report.orenda values(2026, 2, '2022800700', 'Полонне,Фора-528 Лесі Українки,174Б', NULL, -718988.4, 'Orenda');</v>
      </c>
      <c r="M225" t="str">
        <f t="shared" si="12"/>
        <v>insert into business_analytic.report.orenda values(2026, 3, '2022800700', 'Полонне,Фора-528 Лесі Українки,174Б', NULL, -718988.4, 'Orenda');</v>
      </c>
      <c r="N225" t="str">
        <f t="shared" si="13"/>
        <v>insert into business_analytic.report.orenda values(2026, 4, '2022800700', 'Полонне,Фора-528 Лесі Українки,174Б', NULL, -718988.4, 'Orenda');</v>
      </c>
      <c r="O225" t="str">
        <f t="shared" si="13"/>
        <v>insert into business_analytic.report.orenda values(2026, 5, '2022800700', 'Полонне,Фора-528 Лесі Українки,174Б', NULL, -718988.4, 'Orenda');</v>
      </c>
    </row>
    <row r="226" spans="1:15" x14ac:dyDescent="0.3">
      <c r="A226" t="s">
        <v>92</v>
      </c>
      <c r="B226" t="s">
        <v>623</v>
      </c>
      <c r="C226" t="s">
        <v>896</v>
      </c>
      <c r="D226" s="2">
        <v>-330000</v>
      </c>
      <c r="E226" s="2">
        <v>-330000</v>
      </c>
      <c r="F226" s="2">
        <v>-330000</v>
      </c>
      <c r="G226" s="2">
        <v>-346720</v>
      </c>
      <c r="H226" s="2">
        <v>-356400</v>
      </c>
      <c r="I226" s="2"/>
      <c r="J226" s="2">
        <v>-1693120</v>
      </c>
      <c r="K226" t="str">
        <f t="shared" si="11"/>
        <v>insert into business_analytic.report.orenda values(2026, 1, '2022800800', 'Могилів-Подільський,Фора-508 Стависьк,43', NULL, -330000, 'Orenda');</v>
      </c>
      <c r="L226" t="str">
        <f t="shared" si="11"/>
        <v>insert into business_analytic.report.orenda values(2026, 2, '2022800800', 'Могилів-Подільський,Фора-508 Стависьк,43', NULL, -330000, 'Orenda');</v>
      </c>
      <c r="M226" t="str">
        <f t="shared" si="12"/>
        <v>insert into business_analytic.report.orenda values(2026, 3, '2022800800', 'Могилів-Подільський,Фора-508 Стависьк,43', NULL, -330000, 'Orenda');</v>
      </c>
      <c r="N226" t="str">
        <f t="shared" si="13"/>
        <v>insert into business_analytic.report.orenda values(2026, 4, '2022800800', 'Могилів-Подільський,Фора-508 Стависьк,43', NULL, -346720, 'Orenda');</v>
      </c>
      <c r="O226" t="str">
        <f t="shared" si="13"/>
        <v>insert into business_analytic.report.orenda values(2026, 5, '2022800800', 'Могилів-Подільський,Фора-508 Стависьк,43', NULL, -356400, 'Orenda');</v>
      </c>
    </row>
    <row r="227" spans="1:15" x14ac:dyDescent="0.3">
      <c r="A227" t="s">
        <v>93</v>
      </c>
      <c r="B227" t="s">
        <v>624</v>
      </c>
      <c r="C227" t="s">
        <v>878</v>
      </c>
      <c r="D227" s="2">
        <v>-577530.15</v>
      </c>
      <c r="E227" s="2">
        <v>-372469.86</v>
      </c>
      <c r="F227" s="2">
        <v>-345161.29</v>
      </c>
      <c r="G227" s="2">
        <v>-300000</v>
      </c>
      <c r="H227" s="2">
        <v>-300000</v>
      </c>
      <c r="I227" s="2"/>
      <c r="J227" s="2">
        <v>-1895161.3</v>
      </c>
      <c r="K227" t="str">
        <f t="shared" si="11"/>
        <v>insert into business_analytic.report.orenda values(2026, 1, '2022800900', 'Дунаївці,Фора-551 Шевченка,57', NULL, -577530.15, 'Orenda');</v>
      </c>
      <c r="L227" t="str">
        <f t="shared" si="11"/>
        <v>insert into business_analytic.report.orenda values(2026, 2, '2022800900', 'Дунаївці,Фора-551 Шевченка,57', NULL, -372469.86, 'Orenda');</v>
      </c>
      <c r="M227" t="str">
        <f t="shared" si="12"/>
        <v>insert into business_analytic.report.orenda values(2026, 3, '2022800900', 'Дунаївці,Фора-551 Шевченка,57', NULL, -345161.29, 'Orenda');</v>
      </c>
      <c r="N227" t="str">
        <f t="shared" si="13"/>
        <v>insert into business_analytic.report.orenda values(2026, 4, '2022800900', 'Дунаївці,Фора-551 Шевченка,57', NULL, -300000, 'Orenda');</v>
      </c>
      <c r="O227" t="str">
        <f t="shared" si="13"/>
        <v>insert into business_analytic.report.orenda values(2026, 5, '2022800900', 'Дунаївці,Фора-551 Шевченка,57', NULL, -300000, 'Orenda');</v>
      </c>
    </row>
    <row r="228" spans="1:15" x14ac:dyDescent="0.3">
      <c r="A228" t="s">
        <v>250</v>
      </c>
      <c r="B228" t="s">
        <v>625</v>
      </c>
      <c r="C228" t="s">
        <v>897</v>
      </c>
      <c r="D228" s="2">
        <v>-290400</v>
      </c>
      <c r="E228" s="2">
        <v>-290400</v>
      </c>
      <c r="F228" s="2">
        <v>-290400</v>
      </c>
      <c r="G228" s="2">
        <v>-290400</v>
      </c>
      <c r="H228" s="2">
        <v>-290400</v>
      </c>
      <c r="I228" s="2"/>
      <c r="J228" s="2">
        <v>-1452000</v>
      </c>
      <c r="K228" t="str">
        <f t="shared" si="11"/>
        <v>insert into business_analytic.report.orenda values(2026, 1, '2025400500', 'Гребінка,Фора-486 Магістральна,49', NULL, -290400, 'Orenda');</v>
      </c>
      <c r="L228" t="str">
        <f t="shared" si="11"/>
        <v>insert into business_analytic.report.orenda values(2026, 2, '2025400500', 'Гребінка,Фора-486 Магістральна,49', NULL, -290400, 'Orenda');</v>
      </c>
      <c r="M228" t="str">
        <f t="shared" si="12"/>
        <v>insert into business_analytic.report.orenda values(2026, 3, '2025400500', 'Гребінка,Фора-486 Магістральна,49', NULL, -290400, 'Orenda');</v>
      </c>
      <c r="N228" t="str">
        <f t="shared" si="13"/>
        <v>insert into business_analytic.report.orenda values(2026, 4, '2025400500', 'Гребінка,Фора-486 Магістральна,49', NULL, -290400, 'Orenda');</v>
      </c>
      <c r="O228" t="str">
        <f t="shared" si="13"/>
        <v>insert into business_analytic.report.orenda values(2026, 5, '2025400500', 'Гребінка,Фора-486 Магістральна,49', NULL, -290400, 'Orenda');</v>
      </c>
    </row>
    <row r="229" spans="1:15" x14ac:dyDescent="0.3">
      <c r="A229" t="s">
        <v>251</v>
      </c>
      <c r="B229" t="s">
        <v>626</v>
      </c>
      <c r="C229" t="s">
        <v>898</v>
      </c>
      <c r="D229" s="2">
        <v>-269080.5</v>
      </c>
      <c r="E229" s="2">
        <v>-269080.5</v>
      </c>
      <c r="F229" s="2">
        <v>-269080.5</v>
      </c>
      <c r="G229" s="2">
        <v>-269080.5</v>
      </c>
      <c r="H229" s="2">
        <v>-269080.5</v>
      </c>
      <c r="I229" s="2"/>
      <c r="J229" s="2">
        <v>-1345402.5</v>
      </c>
      <c r="K229" t="str">
        <f t="shared" si="11"/>
        <v>insert into business_analytic.report.orenda values(2026, 1, '2025400600', 'Пирятин,Фора-487 Майдан Незалежності,2В', NULL, -269080.5, 'Orenda');</v>
      </c>
      <c r="L229" t="str">
        <f t="shared" si="11"/>
        <v>insert into business_analytic.report.orenda values(2026, 2, '2025400600', 'Пирятин,Фора-487 Майдан Незалежності,2В', NULL, -269080.5, 'Orenda');</v>
      </c>
      <c r="M229" t="str">
        <f t="shared" si="12"/>
        <v>insert into business_analytic.report.orenda values(2026, 3, '2025400600', 'Пирятин,Фора-487 Майдан Незалежності,2В', NULL, -269080.5, 'Orenda');</v>
      </c>
      <c r="N229" t="str">
        <f t="shared" si="13"/>
        <v>insert into business_analytic.report.orenda values(2026, 4, '2025400600', 'Пирятин,Фора-487 Майдан Незалежності,2В', NULL, -269080.5, 'Orenda');</v>
      </c>
      <c r="O229" t="str">
        <f t="shared" si="13"/>
        <v>insert into business_analytic.report.orenda values(2026, 5, '2025400600', 'Пирятин,Фора-487 Майдан Незалежності,2В', NULL, -269080.5, 'Orenda');</v>
      </c>
    </row>
    <row r="230" spans="1:15" x14ac:dyDescent="0.3">
      <c r="A230" t="s">
        <v>252</v>
      </c>
      <c r="B230" t="s">
        <v>627</v>
      </c>
      <c r="C230" t="s">
        <v>899</v>
      </c>
      <c r="D230" s="2">
        <v>-531056.54999999993</v>
      </c>
      <c r="E230" s="2">
        <v>-539538.28999999992</v>
      </c>
      <c r="F230" s="2">
        <v>-541169.35</v>
      </c>
      <c r="G230" s="2">
        <v>-551438.52</v>
      </c>
      <c r="H230" s="2">
        <v>-552010.41999999993</v>
      </c>
      <c r="I230" s="2"/>
      <c r="J230" s="2">
        <v>-2715213.13</v>
      </c>
      <c r="K230" t="str">
        <f t="shared" si="11"/>
        <v>insert into business_analytic.report.orenda values(2026, 1, '2025500300', 'Ромни,Фора-406 Коржівська,100', NULL, -531056.55, 'Orenda');</v>
      </c>
      <c r="L230" t="str">
        <f t="shared" si="11"/>
        <v>insert into business_analytic.report.orenda values(2026, 2, '2025500300', 'Ромни,Фора-406 Коржівська,100', NULL, -539538.29, 'Orenda');</v>
      </c>
      <c r="M230" t="str">
        <f t="shared" si="12"/>
        <v>insert into business_analytic.report.orenda values(2026, 3, '2025500300', 'Ромни,Фора-406 Коржівська,100', NULL, -541169.35, 'Orenda');</v>
      </c>
      <c r="N230" t="str">
        <f t="shared" si="13"/>
        <v>insert into business_analytic.report.orenda values(2026, 4, '2025500300', 'Ромни,Фора-406 Коржівська,100', NULL, -551438.52, 'Orenda');</v>
      </c>
      <c r="O230" t="str">
        <f t="shared" si="13"/>
        <v>insert into business_analytic.report.orenda values(2026, 5, '2025500300', 'Ромни,Фора-406 Коржівська,100', NULL, -552010.42, 'Orenda');</v>
      </c>
    </row>
    <row r="231" spans="1:15" x14ac:dyDescent="0.3">
      <c r="A231" t="s">
        <v>253</v>
      </c>
      <c r="B231" t="s">
        <v>657</v>
      </c>
      <c r="C231" t="s">
        <v>900</v>
      </c>
      <c r="D231" s="2">
        <v>-25000</v>
      </c>
      <c r="E231" s="2">
        <v>-25000</v>
      </c>
      <c r="F231" s="2">
        <v>-25000</v>
      </c>
      <c r="G231" s="2">
        <v>-25000</v>
      </c>
      <c r="H231" s="2">
        <v>-25000</v>
      </c>
      <c r="I231" s="2"/>
      <c r="J231" s="2">
        <v>-125000</v>
      </c>
      <c r="K231" t="str">
        <f t="shared" si="11"/>
        <v>insert into business_analytic.report.orenda values(2026, 1, '2027100300', 'Бровари,Фора-432 Чубинського,3', NULL, -25000, 'Orenda');</v>
      </c>
      <c r="L231" t="str">
        <f t="shared" si="11"/>
        <v>insert into business_analytic.report.orenda values(2026, 2, '2027100300', 'Бровари,Фора-432 Чубинського,3', NULL, -25000, 'Orenda');</v>
      </c>
      <c r="M231" t="str">
        <f t="shared" si="12"/>
        <v>insert into business_analytic.report.orenda values(2026, 3, '2027100300', 'Бровари,Фора-432 Чубинського,3', NULL, -25000, 'Orenda');</v>
      </c>
      <c r="N231" t="str">
        <f t="shared" si="13"/>
        <v>insert into business_analytic.report.orenda values(2026, 4, '2027100300', 'Бровари,Фора-432 Чубинського,3', NULL, -25000, 'Orenda');</v>
      </c>
      <c r="O231" t="str">
        <f t="shared" si="13"/>
        <v>insert into business_analytic.report.orenda values(2026, 5, '2027100300', 'Бровари,Фора-432 Чубинського,3', NULL, -25000, 'Orenda');</v>
      </c>
    </row>
    <row r="232" spans="1:15" x14ac:dyDescent="0.3">
      <c r="A232" t="s">
        <v>254</v>
      </c>
      <c r="B232" t="s">
        <v>628</v>
      </c>
      <c r="C232" t="s">
        <v>901</v>
      </c>
      <c r="D232" s="2">
        <v>-35000</v>
      </c>
      <c r="E232" s="2">
        <v>-40000</v>
      </c>
      <c r="F232" s="2">
        <v>-49500</v>
      </c>
      <c r="G232" s="2">
        <v>-49500</v>
      </c>
      <c r="H232" s="2">
        <v>-49500</v>
      </c>
      <c r="I232" s="2"/>
      <c r="J232" s="2">
        <v>-223500</v>
      </c>
      <c r="K232" t="str">
        <f t="shared" si="11"/>
        <v>insert into business_analytic.report.orenda values(2026, 1, '2027100600', 'Київ,Фора-433 Колоса,1Б', NULL, -35000, 'Orenda');</v>
      </c>
      <c r="L232" t="str">
        <f t="shared" si="11"/>
        <v>insert into business_analytic.report.orenda values(2026, 2, '2027100600', 'Київ,Фора-433 Колоса,1Б', NULL, -40000, 'Orenda');</v>
      </c>
      <c r="M232" t="str">
        <f t="shared" si="12"/>
        <v>insert into business_analytic.report.orenda values(2026, 3, '2027100600', 'Київ,Фора-433 Колоса,1Б', NULL, -49500, 'Orenda');</v>
      </c>
      <c r="N232" t="str">
        <f t="shared" si="13"/>
        <v>insert into business_analytic.report.orenda values(2026, 4, '2027100600', 'Київ,Фора-433 Колоса,1Б', NULL, -49500, 'Orenda');</v>
      </c>
      <c r="O232" t="str">
        <f t="shared" si="13"/>
        <v>insert into business_analytic.report.orenda values(2026, 5, '2027100600', 'Київ,Фора-433 Колоса,1Б', NULL, -49500, 'Orenda');</v>
      </c>
    </row>
    <row r="233" spans="1:15" x14ac:dyDescent="0.3">
      <c r="A233" t="s">
        <v>255</v>
      </c>
      <c r="B233" t="s">
        <v>629</v>
      </c>
      <c r="C233" t="s">
        <v>902</v>
      </c>
      <c r="D233" s="2">
        <v>-52000</v>
      </c>
      <c r="E233" s="2">
        <v>-52000</v>
      </c>
      <c r="F233" s="2">
        <v>-52000</v>
      </c>
      <c r="G233" s="2">
        <v>-52000</v>
      </c>
      <c r="H233" s="2">
        <v>-52000</v>
      </c>
      <c r="I233" s="2"/>
      <c r="J233" s="2">
        <v>-260000</v>
      </c>
      <c r="K233" t="str">
        <f t="shared" si="11"/>
        <v>insert into business_analytic.report.orenda values(2026, 1, '2027100900', 'Київ,Фора-435 Деміївська,13', NULL, -52000, 'Orenda');</v>
      </c>
      <c r="L233" t="str">
        <f t="shared" si="11"/>
        <v>insert into business_analytic.report.orenda values(2026, 2, '2027100900', 'Київ,Фора-435 Деміївська,13', NULL, -52000, 'Orenda');</v>
      </c>
      <c r="M233" t="str">
        <f t="shared" si="12"/>
        <v>insert into business_analytic.report.orenda values(2026, 3, '2027100900', 'Київ,Фора-435 Деміївська,13', NULL, -52000, 'Orenda');</v>
      </c>
      <c r="N233" t="str">
        <f t="shared" si="13"/>
        <v>insert into business_analytic.report.orenda values(2026, 4, '2027100900', 'Київ,Фора-435 Деміївська,13', NULL, -52000, 'Orenda');</v>
      </c>
      <c r="O233" t="str">
        <f t="shared" si="13"/>
        <v>insert into business_analytic.report.orenda values(2026, 5, '2027100900', 'Київ,Фора-435 Деміївська,13', NULL, -52000, 'Orenda');</v>
      </c>
    </row>
    <row r="234" spans="1:15" x14ac:dyDescent="0.3">
      <c r="A234" t="s">
        <v>256</v>
      </c>
      <c r="B234" t="s">
        <v>673</v>
      </c>
      <c r="C234" t="s">
        <v>903</v>
      </c>
      <c r="D234" s="2">
        <v>-71499.98</v>
      </c>
      <c r="E234" s="2">
        <v>-71500</v>
      </c>
      <c r="F234" s="2">
        <v>-71500</v>
      </c>
      <c r="G234" s="2">
        <v>-71500</v>
      </c>
      <c r="H234" s="2">
        <v>-71500</v>
      </c>
      <c r="I234" s="2"/>
      <c r="J234" s="2">
        <v>-357499.98</v>
      </c>
      <c r="K234" t="str">
        <f t="shared" si="11"/>
        <v>insert into business_analytic.report.orenda values(2026, 1, '2027101100', 'Київ,Фора-437 Сверстюка,6А', NULL, -71499.98, 'Orenda');</v>
      </c>
      <c r="L234" t="str">
        <f t="shared" si="11"/>
        <v>insert into business_analytic.report.orenda values(2026, 2, '2027101100', 'Київ,Фора-437 Сверстюка,6А', NULL, -71500, 'Orenda');</v>
      </c>
      <c r="M234" t="str">
        <f t="shared" si="12"/>
        <v>insert into business_analytic.report.orenda values(2026, 3, '2027101100', 'Київ,Фора-437 Сверстюка,6А', NULL, -71500, 'Orenda');</v>
      </c>
      <c r="N234" t="str">
        <f t="shared" si="13"/>
        <v>insert into business_analytic.report.orenda values(2026, 4, '2027101100', 'Київ,Фора-437 Сверстюка,6А', NULL, -71500, 'Orenda');</v>
      </c>
      <c r="O234" t="str">
        <f t="shared" si="13"/>
        <v>insert into business_analytic.report.orenda values(2026, 5, '2027101100', 'Київ,Фора-437 Сверстюка,6А', NULL, -71500, 'Orenda');</v>
      </c>
    </row>
    <row r="235" spans="1:15" x14ac:dyDescent="0.3">
      <c r="A235" t="s">
        <v>257</v>
      </c>
      <c r="B235" t="s">
        <v>630</v>
      </c>
      <c r="C235" t="s">
        <v>904</v>
      </c>
      <c r="D235" s="2">
        <v>-40000</v>
      </c>
      <c r="E235" s="2">
        <v>-40000</v>
      </c>
      <c r="F235" s="2">
        <v>-40000</v>
      </c>
      <c r="G235" s="2">
        <v>-40000</v>
      </c>
      <c r="H235" s="2">
        <v>-40000</v>
      </c>
      <c r="I235" s="2"/>
      <c r="J235" s="2">
        <v>-200000</v>
      </c>
      <c r="K235" t="str">
        <f t="shared" si="11"/>
        <v>insert into business_analytic.report.orenda values(2026, 1, '2027101500', 'Київ,Фора-440 Максимовича,3Д', NULL, -40000, 'Orenda');</v>
      </c>
      <c r="L235" t="str">
        <f t="shared" si="11"/>
        <v>insert into business_analytic.report.orenda values(2026, 2, '2027101500', 'Київ,Фора-440 Максимовича,3Д', NULL, -40000, 'Orenda');</v>
      </c>
      <c r="M235" t="str">
        <f t="shared" si="12"/>
        <v>insert into business_analytic.report.orenda values(2026, 3, '2027101500', 'Київ,Фора-440 Максимовича,3Д', NULL, -40000, 'Orenda');</v>
      </c>
      <c r="N235" t="str">
        <f t="shared" si="13"/>
        <v>insert into business_analytic.report.orenda values(2026, 4, '2027101500', 'Київ,Фора-440 Максимовича,3Д', NULL, -40000, 'Orenda');</v>
      </c>
      <c r="O235" t="str">
        <f t="shared" si="13"/>
        <v>insert into business_analytic.report.orenda values(2026, 5, '2027101500', 'Київ,Фора-440 Максимовича,3Д', NULL, -40000, 'Orenda');</v>
      </c>
    </row>
    <row r="236" spans="1:15" x14ac:dyDescent="0.3">
      <c r="A236" t="s">
        <v>258</v>
      </c>
      <c r="B236" t="s">
        <v>631</v>
      </c>
      <c r="C236" t="s">
        <v>905</v>
      </c>
      <c r="D236" s="2">
        <v>-90000</v>
      </c>
      <c r="E236" s="2">
        <v>-90000</v>
      </c>
      <c r="F236" s="2">
        <v>-90000</v>
      </c>
      <c r="G236" s="2">
        <v>-90000</v>
      </c>
      <c r="H236" s="2">
        <v>-90000</v>
      </c>
      <c r="I236" s="2"/>
      <c r="J236" s="2">
        <v>-450000</v>
      </c>
      <c r="K236" t="str">
        <f t="shared" si="11"/>
        <v>insert into business_analytic.report.orenda values(2026, 1, '2027101700', 'Бровари,Фора-442 Чорновола,6', NULL, -90000, 'Orenda');</v>
      </c>
      <c r="L236" t="str">
        <f t="shared" si="11"/>
        <v>insert into business_analytic.report.orenda values(2026, 2, '2027101700', 'Бровари,Фора-442 Чорновола,6', NULL, -90000, 'Orenda');</v>
      </c>
      <c r="M236" t="str">
        <f t="shared" si="12"/>
        <v>insert into business_analytic.report.orenda values(2026, 3, '2027101700', 'Бровари,Фора-442 Чорновола,6', NULL, -90000, 'Orenda');</v>
      </c>
      <c r="N236" t="str">
        <f t="shared" si="13"/>
        <v>insert into business_analytic.report.orenda values(2026, 4, '2027101700', 'Бровари,Фора-442 Чорновола,6', NULL, -90000, 'Orenda');</v>
      </c>
      <c r="O236" t="str">
        <f t="shared" si="13"/>
        <v>insert into business_analytic.report.orenda values(2026, 5, '2027101700', 'Бровари,Фора-442 Чорновола,6', NULL, -90000, 'Orenda');</v>
      </c>
    </row>
    <row r="237" spans="1:15" x14ac:dyDescent="0.3">
      <c r="A237" t="s">
        <v>259</v>
      </c>
      <c r="B237" t="s">
        <v>632</v>
      </c>
      <c r="C237" t="s">
        <v>906</v>
      </c>
      <c r="D237" s="2">
        <v>-59875.199999999997</v>
      </c>
      <c r="E237" s="2">
        <v>-59875.199999999997</v>
      </c>
      <c r="F237" s="2">
        <v>-59875.199999999997</v>
      </c>
      <c r="G237" s="2">
        <v>-59875.199999999997</v>
      </c>
      <c r="H237" s="2">
        <v>-59875.199999999997</v>
      </c>
      <c r="I237" s="2"/>
      <c r="J237" s="2">
        <v>-299376</v>
      </c>
      <c r="K237" t="str">
        <f t="shared" si="11"/>
        <v>insert into business_analytic.report.orenda values(2026, 1, '2027102100', 'Київ,Фора-443 Мстиславича,28А', NULL, -59875.2, 'Orenda');</v>
      </c>
      <c r="L237" t="str">
        <f t="shared" si="11"/>
        <v>insert into business_analytic.report.orenda values(2026, 2, '2027102100', 'Київ,Фора-443 Мстиславича,28А', NULL, -59875.2, 'Orenda');</v>
      </c>
      <c r="M237" t="str">
        <f t="shared" si="12"/>
        <v>insert into business_analytic.report.orenda values(2026, 3, '2027102100', 'Київ,Фора-443 Мстиславича,28А', NULL, -59875.2, 'Orenda');</v>
      </c>
      <c r="N237" t="str">
        <f t="shared" si="13"/>
        <v>insert into business_analytic.report.orenda values(2026, 4, '2027102100', 'Київ,Фора-443 Мстиславича,28А', NULL, -59875.2, 'Orenda');</v>
      </c>
      <c r="O237" t="str">
        <f t="shared" si="13"/>
        <v>insert into business_analytic.report.orenda values(2026, 5, '2027102100', 'Київ,Фора-443 Мстиславича,28А', NULL, -59875.2, 'Orenda');</v>
      </c>
    </row>
    <row r="238" spans="1:15" x14ac:dyDescent="0.3">
      <c r="A238" t="s">
        <v>260</v>
      </c>
      <c r="B238" t="s">
        <v>674</v>
      </c>
      <c r="C238" t="s">
        <v>907</v>
      </c>
      <c r="D238" s="2">
        <v>-65000</v>
      </c>
      <c r="E238" s="2">
        <v>-55000</v>
      </c>
      <c r="F238" s="2">
        <v>-55000</v>
      </c>
      <c r="G238" s="2">
        <v>-65000</v>
      </c>
      <c r="H238" s="2">
        <v>-65000</v>
      </c>
      <c r="I238" s="2"/>
      <c r="J238" s="2">
        <v>-305000</v>
      </c>
      <c r="K238" t="str">
        <f t="shared" si="11"/>
        <v>insert into business_analytic.report.orenda values(2026, 1, '2027102300', 'Київ,Фора-445 Каховська,62А', NULL, -65000, 'Orenda');</v>
      </c>
      <c r="L238" t="str">
        <f t="shared" si="11"/>
        <v>insert into business_analytic.report.orenda values(2026, 2, '2027102300', 'Київ,Фора-445 Каховська,62А', NULL, -55000, 'Orenda');</v>
      </c>
      <c r="M238" t="str">
        <f t="shared" si="12"/>
        <v>insert into business_analytic.report.orenda values(2026, 3, '2027102300', 'Київ,Фора-445 Каховська,62А', NULL, -55000, 'Orenda');</v>
      </c>
      <c r="N238" t="str">
        <f t="shared" si="13"/>
        <v>insert into business_analytic.report.orenda values(2026, 4, '2027102300', 'Київ,Фора-445 Каховська,62А', NULL, -65000, 'Orenda');</v>
      </c>
      <c r="O238" t="str">
        <f t="shared" si="13"/>
        <v>insert into business_analytic.report.orenda values(2026, 5, '2027102300', 'Київ,Фора-445 Каховська,62А', NULL, -65000, 'Orenda');</v>
      </c>
    </row>
    <row r="239" spans="1:15" x14ac:dyDescent="0.3">
      <c r="A239" t="s">
        <v>261</v>
      </c>
      <c r="B239" t="s">
        <v>633</v>
      </c>
      <c r="C239" t="s">
        <v>908</v>
      </c>
      <c r="D239" s="2">
        <v>-85000</v>
      </c>
      <c r="E239" s="2">
        <v>-85000</v>
      </c>
      <c r="F239" s="2">
        <v>-85000</v>
      </c>
      <c r="G239" s="2">
        <v>-85000</v>
      </c>
      <c r="H239" s="2">
        <v>-85000</v>
      </c>
      <c r="I239" s="2"/>
      <c r="J239" s="2">
        <v>-425000</v>
      </c>
      <c r="K239" t="str">
        <f t="shared" si="11"/>
        <v>insert into business_analytic.report.orenda values(2026, 1, '2027102800', 'Київ,Фора-449 Голосіївська,18', NULL, -85000, 'Orenda');</v>
      </c>
      <c r="L239" t="str">
        <f t="shared" si="11"/>
        <v>insert into business_analytic.report.orenda values(2026, 2, '2027102800', 'Київ,Фора-449 Голосіївська,18', NULL, -85000, 'Orenda');</v>
      </c>
      <c r="M239" t="str">
        <f t="shared" si="12"/>
        <v>insert into business_analytic.report.orenda values(2026, 3, '2027102800', 'Київ,Фора-449 Голосіївська,18', NULL, -85000, 'Orenda');</v>
      </c>
      <c r="N239" t="str">
        <f t="shared" si="13"/>
        <v>insert into business_analytic.report.orenda values(2026, 4, '2027102800', 'Київ,Фора-449 Голосіївська,18', NULL, -85000, 'Orenda');</v>
      </c>
      <c r="O239" t="str">
        <f t="shared" si="13"/>
        <v>insert into business_analytic.report.orenda values(2026, 5, '2027102800', 'Київ,Фора-449 Голосіївська,18', NULL, -85000, 'Orenda');</v>
      </c>
    </row>
    <row r="240" spans="1:15" x14ac:dyDescent="0.3">
      <c r="A240" t="s">
        <v>262</v>
      </c>
      <c r="B240" t="s">
        <v>634</v>
      </c>
      <c r="C240" t="s">
        <v>909</v>
      </c>
      <c r="D240" s="2">
        <v>-56000</v>
      </c>
      <c r="E240" s="2">
        <v>-56000</v>
      </c>
      <c r="F240" s="2">
        <v>-56000</v>
      </c>
      <c r="G240" s="2">
        <v>-56000</v>
      </c>
      <c r="H240" s="2">
        <v>-56000</v>
      </c>
      <c r="I240" s="2"/>
      <c r="J240" s="2">
        <v>-280000</v>
      </c>
      <c r="K240" t="str">
        <f t="shared" si="11"/>
        <v>insert into business_analytic.report.orenda values(2026, 1, '2027102900', 'Київ,Фора-450 Жуля Верна,13', NULL, -56000, 'Orenda');</v>
      </c>
      <c r="L240" t="str">
        <f t="shared" si="11"/>
        <v>insert into business_analytic.report.orenda values(2026, 2, '2027102900', 'Київ,Фора-450 Жуля Верна,13', NULL, -56000, 'Orenda');</v>
      </c>
      <c r="M240" t="str">
        <f t="shared" si="12"/>
        <v>insert into business_analytic.report.orenda values(2026, 3, '2027102900', 'Київ,Фора-450 Жуля Верна,13', NULL, -56000, 'Orenda');</v>
      </c>
      <c r="N240" t="str">
        <f t="shared" si="13"/>
        <v>insert into business_analytic.report.orenda values(2026, 4, '2027102900', 'Київ,Фора-450 Жуля Верна,13', NULL, -56000, 'Orenda');</v>
      </c>
      <c r="O240" t="str">
        <f t="shared" si="13"/>
        <v>insert into business_analytic.report.orenda values(2026, 5, '2027102900', 'Київ,Фора-450 Жуля Верна,13', NULL, -56000, 'Orenda');</v>
      </c>
    </row>
    <row r="241" spans="1:15" x14ac:dyDescent="0.3">
      <c r="A241" t="s">
        <v>263</v>
      </c>
      <c r="B241" t="s">
        <v>635</v>
      </c>
      <c r="C241" t="s">
        <v>910</v>
      </c>
      <c r="D241" s="2">
        <v>-71500</v>
      </c>
      <c r="E241" s="2">
        <v>-65000</v>
      </c>
      <c r="F241" s="2">
        <v>-71500</v>
      </c>
      <c r="G241" s="2">
        <v>-71500</v>
      </c>
      <c r="H241" s="2">
        <v>-71500</v>
      </c>
      <c r="I241" s="2"/>
      <c r="J241" s="2">
        <v>-351000</v>
      </c>
      <c r="K241" t="str">
        <f t="shared" si="11"/>
        <v>insert into business_analytic.report.orenda values(2026, 1, '2027103000', 'Київ,Фора-451 Русанівський,12', NULL, -71500, 'Orenda');</v>
      </c>
      <c r="L241" t="str">
        <f t="shared" si="11"/>
        <v>insert into business_analytic.report.orenda values(2026, 2, '2027103000', 'Київ,Фора-451 Русанівський,12', NULL, -65000, 'Orenda');</v>
      </c>
      <c r="M241" t="str">
        <f t="shared" si="12"/>
        <v>insert into business_analytic.report.orenda values(2026, 3, '2027103000', 'Київ,Фора-451 Русанівський,12', NULL, -71500, 'Orenda');</v>
      </c>
      <c r="N241" t="str">
        <f t="shared" si="13"/>
        <v>insert into business_analytic.report.orenda values(2026, 4, '2027103000', 'Київ,Фора-451 Русанівський,12', NULL, -71500, 'Orenda');</v>
      </c>
      <c r="O241" t="str">
        <f t="shared" si="13"/>
        <v>insert into business_analytic.report.orenda values(2026, 5, '2027103000', 'Київ,Фора-451 Русанівський,12', NULL, -71500, 'Orenda');</v>
      </c>
    </row>
    <row r="242" spans="1:15" x14ac:dyDescent="0.3">
      <c r="A242" t="s">
        <v>264</v>
      </c>
      <c r="B242" t="s">
        <v>636</v>
      </c>
      <c r="C242" t="s">
        <v>911</v>
      </c>
      <c r="D242" s="2">
        <v>-81070</v>
      </c>
      <c r="E242" s="2">
        <v>-81070</v>
      </c>
      <c r="F242" s="2">
        <v>-81070</v>
      </c>
      <c r="G242" s="2">
        <v>-81070</v>
      </c>
      <c r="H242" s="2">
        <v>-81070</v>
      </c>
      <c r="I242" s="2"/>
      <c r="J242" s="2">
        <v>-405350</v>
      </c>
      <c r="K242" t="str">
        <f t="shared" si="11"/>
        <v>insert into business_analytic.report.orenda values(2026, 1, '2027103100', 'Київ,Фора-452 Максимовича,26Б', NULL, -81070, 'Orenda');</v>
      </c>
      <c r="L242" t="str">
        <f t="shared" si="11"/>
        <v>insert into business_analytic.report.orenda values(2026, 2, '2027103100', 'Київ,Фора-452 Максимовича,26Б', NULL, -81070, 'Orenda');</v>
      </c>
      <c r="M242" t="str">
        <f t="shared" si="12"/>
        <v>insert into business_analytic.report.orenda values(2026, 3, '2027103100', 'Київ,Фора-452 Максимовича,26Б', NULL, -81070, 'Orenda');</v>
      </c>
      <c r="N242" t="str">
        <f t="shared" si="13"/>
        <v>insert into business_analytic.report.orenda values(2026, 4, '2027103100', 'Київ,Фора-452 Максимовича,26Б', NULL, -81070, 'Orenda');</v>
      </c>
      <c r="O242" t="str">
        <f t="shared" si="13"/>
        <v>insert into business_analytic.report.orenda values(2026, 5, '2027103100', 'Київ,Фора-452 Максимовича,26Б', NULL, -81070, 'Orenda');</v>
      </c>
    </row>
    <row r="243" spans="1:15" x14ac:dyDescent="0.3">
      <c r="A243" t="s">
        <v>265</v>
      </c>
      <c r="B243" t="s">
        <v>637</v>
      </c>
      <c r="C243" t="s">
        <v>912</v>
      </c>
      <c r="D243" s="2">
        <v>-55000</v>
      </c>
      <c r="E243" s="2">
        <v>-55000</v>
      </c>
      <c r="F243" s="2">
        <v>-55000</v>
      </c>
      <c r="G243" s="2">
        <v>-55000</v>
      </c>
      <c r="H243" s="2">
        <v>-55000</v>
      </c>
      <c r="I243" s="2"/>
      <c r="J243" s="2">
        <v>-275000</v>
      </c>
      <c r="K243" t="str">
        <f t="shared" si="11"/>
        <v>insert into business_analytic.report.orenda values(2026, 1, '2027103600', 'Київ,Фора-454 Світличного,4', NULL, -55000, 'Orenda');</v>
      </c>
      <c r="L243" t="str">
        <f t="shared" si="11"/>
        <v>insert into business_analytic.report.orenda values(2026, 2, '2027103600', 'Київ,Фора-454 Світличного,4', NULL, -55000, 'Orenda');</v>
      </c>
      <c r="M243" t="str">
        <f t="shared" si="12"/>
        <v>insert into business_analytic.report.orenda values(2026, 3, '2027103600', 'Київ,Фора-454 Світличного,4', NULL, -55000, 'Orenda');</v>
      </c>
      <c r="N243" t="str">
        <f t="shared" si="13"/>
        <v>insert into business_analytic.report.orenda values(2026, 4, '2027103600', 'Київ,Фора-454 Світличного,4', NULL, -55000, 'Orenda');</v>
      </c>
      <c r="O243" t="str">
        <f t="shared" si="13"/>
        <v>insert into business_analytic.report.orenda values(2026, 5, '2027103600', 'Київ,Фора-454 Світличного,4', NULL, -55000, 'Orenda');</v>
      </c>
    </row>
    <row r="244" spans="1:15" x14ac:dyDescent="0.3">
      <c r="A244" t="s">
        <v>266</v>
      </c>
      <c r="B244" t="s">
        <v>638</v>
      </c>
      <c r="C244" t="s">
        <v>423</v>
      </c>
      <c r="D244" s="2">
        <v>-50000</v>
      </c>
      <c r="E244" s="2">
        <v>-50000</v>
      </c>
      <c r="F244" s="2">
        <v>-50000</v>
      </c>
      <c r="G244" s="2">
        <v>-50000</v>
      </c>
      <c r="H244" s="2">
        <v>-50000</v>
      </c>
      <c r="I244" s="2"/>
      <c r="J244" s="2">
        <v>-250000</v>
      </c>
      <c r="K244" t="str">
        <f t="shared" si="11"/>
        <v>insert into business_analytic.report.orenda values(2026, 1, '2027104000', 'Бровари,Фора-458 Соборна,20', NULL, -50000, 'Orenda');</v>
      </c>
      <c r="L244" t="str">
        <f t="shared" si="11"/>
        <v>insert into business_analytic.report.orenda values(2026, 2, '2027104000', 'Бровари,Фора-458 Соборна,20', NULL, -50000, 'Orenda');</v>
      </c>
      <c r="M244" t="str">
        <f t="shared" si="12"/>
        <v>insert into business_analytic.report.orenda values(2026, 3, '2027104000', 'Бровари,Фора-458 Соборна,20', NULL, -50000, 'Orenda');</v>
      </c>
      <c r="N244" t="str">
        <f t="shared" si="13"/>
        <v>insert into business_analytic.report.orenda values(2026, 4, '2027104000', 'Бровари,Фора-458 Соборна,20', NULL, -50000, 'Orenda');</v>
      </c>
      <c r="O244" t="str">
        <f t="shared" si="13"/>
        <v>insert into business_analytic.report.orenda values(2026, 5, '2027104000', 'Бровари,Фора-458 Соборна,20', NULL, -50000, 'Orenda');</v>
      </c>
    </row>
    <row r="245" spans="1:15" x14ac:dyDescent="0.3">
      <c r="A245" t="s">
        <v>267</v>
      </c>
      <c r="B245" t="s">
        <v>639</v>
      </c>
      <c r="C245" t="s">
        <v>913</v>
      </c>
      <c r="D245" s="2">
        <v>-35447.5</v>
      </c>
      <c r="E245" s="2">
        <v>-35447.5</v>
      </c>
      <c r="F245" s="2">
        <v>-35447.5</v>
      </c>
      <c r="G245" s="2">
        <v>-35447.5</v>
      </c>
      <c r="H245" s="2">
        <v>-35447.5</v>
      </c>
      <c r="I245" s="2"/>
      <c r="J245" s="2">
        <v>-177237.5</v>
      </c>
      <c r="K245" t="str">
        <f t="shared" si="11"/>
        <v>insert into business_analytic.report.orenda values(2026, 1, '2027104600', 'Бровари,Фора-504 Симоненка,2А', NULL, -35447.5, 'Orenda');</v>
      </c>
      <c r="L245" t="str">
        <f t="shared" si="11"/>
        <v>insert into business_analytic.report.orenda values(2026, 2, '2027104600', 'Бровари,Фора-504 Симоненка,2А', NULL, -35447.5, 'Orenda');</v>
      </c>
      <c r="M245" t="str">
        <f t="shared" si="12"/>
        <v>insert into business_analytic.report.orenda values(2026, 3, '2027104600', 'Бровари,Фора-504 Симоненка,2А', NULL, -35447.5, 'Orenda');</v>
      </c>
      <c r="N245" t="str">
        <f t="shared" si="13"/>
        <v>insert into business_analytic.report.orenda values(2026, 4, '2027104600', 'Бровари,Фора-504 Симоненка,2А', NULL, -35447.5, 'Orenda');</v>
      </c>
      <c r="O245" t="str">
        <f t="shared" si="13"/>
        <v>insert into business_analytic.report.orenda values(2026, 5, '2027104600', 'Бровари,Фора-504 Симоненка,2А', NULL, -35447.5, 'Orenda');</v>
      </c>
    </row>
    <row r="246" spans="1:15" x14ac:dyDescent="0.3">
      <c r="A246" t="s">
        <v>268</v>
      </c>
      <c r="B246" t="s">
        <v>640</v>
      </c>
      <c r="C246" t="s">
        <v>425</v>
      </c>
      <c r="D246" s="2">
        <v>-49500</v>
      </c>
      <c r="E246" s="2">
        <v>-45000</v>
      </c>
      <c r="F246" s="2">
        <v>-49500</v>
      </c>
      <c r="G246" s="2">
        <v>-54450</v>
      </c>
      <c r="H246" s="2">
        <v>-54450</v>
      </c>
      <c r="I246" s="2"/>
      <c r="J246" s="2">
        <v>-252900</v>
      </c>
      <c r="K246" t="str">
        <f t="shared" si="11"/>
        <v>insert into business_analytic.report.orenda values(2026, 1, '2027104700', 'Київ,Фора-505 ФП Столичне шосе,1 П-9', NULL, -49500, 'Orenda');</v>
      </c>
      <c r="L246" t="str">
        <f t="shared" si="11"/>
        <v>insert into business_analytic.report.orenda values(2026, 2, '2027104700', 'Київ,Фора-505 ФП Столичне шосе,1 П-9', NULL, -45000, 'Orenda');</v>
      </c>
      <c r="M246" t="str">
        <f t="shared" si="12"/>
        <v>insert into business_analytic.report.orenda values(2026, 3, '2027104700', 'Київ,Фора-505 ФП Столичне шосе,1 П-9', NULL, -49500, 'Orenda');</v>
      </c>
      <c r="N246" t="str">
        <f t="shared" si="13"/>
        <v>insert into business_analytic.report.orenda values(2026, 4, '2027104700', 'Київ,Фора-505 ФП Столичне шосе,1 П-9', NULL, -54450, 'Orenda');</v>
      </c>
      <c r="O246" t="str">
        <f t="shared" si="13"/>
        <v>insert into business_analytic.report.orenda values(2026, 5, '2027104700', 'Київ,Фора-505 ФП Столичне шосе,1 П-9', NULL, -54450, 'Orenda');</v>
      </c>
    </row>
    <row r="247" spans="1:15" x14ac:dyDescent="0.3">
      <c r="A247" t="s">
        <v>94</v>
      </c>
      <c r="B247" t="s">
        <v>641</v>
      </c>
      <c r="C247" t="s">
        <v>914</v>
      </c>
      <c r="D247" s="2">
        <v>-64506.39</v>
      </c>
      <c r="E247" s="2">
        <v>-63091.839999999997</v>
      </c>
      <c r="F247" s="2">
        <v>-77663.489999999991</v>
      </c>
      <c r="G247" s="2">
        <v>-77301.039999999994</v>
      </c>
      <c r="H247" s="2">
        <v>-89281.4</v>
      </c>
      <c r="I247" s="2">
        <v>-33070.35</v>
      </c>
      <c r="J247" s="2">
        <v>-404914.51</v>
      </c>
      <c r="K247" t="str">
        <f t="shared" si="11"/>
        <v>insert into business_analytic.report.orenda values(2026, 1, '2027104800', 'Київ,Фора-510 Олеся,8/17', NULL, -64506.39, 'Orenda');</v>
      </c>
      <c r="L247" t="str">
        <f t="shared" si="11"/>
        <v>insert into business_analytic.report.orenda values(2026, 2, '2027104800', 'Київ,Фора-510 Олеся,8/17', NULL, -63091.84, 'Orenda');</v>
      </c>
      <c r="M247" t="str">
        <f t="shared" si="12"/>
        <v>insert into business_analytic.report.orenda values(2026, 3, '2027104800', 'Київ,Фора-510 Олеся,8/17', NULL, -77663.49, 'Orenda');</v>
      </c>
      <c r="N247" t="str">
        <f t="shared" si="13"/>
        <v>insert into business_analytic.report.orenda values(2026, 4, '2027104800', 'Київ,Фора-510 Олеся,8/17', NULL, -77301.04, 'Orenda');</v>
      </c>
      <c r="O247" t="str">
        <f t="shared" si="13"/>
        <v>insert into business_analytic.report.orenda values(2026, 5, '2027104800', 'Київ,Фора-510 Олеся,8/17', NULL, -89281.4, 'Orenda');</v>
      </c>
    </row>
    <row r="248" spans="1:15" x14ac:dyDescent="0.3">
      <c r="A248" t="s">
        <v>269</v>
      </c>
      <c r="B248" t="s">
        <v>642</v>
      </c>
      <c r="C248" t="s">
        <v>915</v>
      </c>
      <c r="D248" s="2">
        <v>-34285.71</v>
      </c>
      <c r="E248" s="2">
        <v>-34285.71</v>
      </c>
      <c r="F248" s="2">
        <v>-34285.71</v>
      </c>
      <c r="G248" s="2">
        <v>-34285.71</v>
      </c>
      <c r="H248" s="2">
        <v>-34285.71</v>
      </c>
      <c r="I248" s="2"/>
      <c r="J248" s="2">
        <v>-171428.55</v>
      </c>
      <c r="K248" t="str">
        <f t="shared" si="11"/>
        <v>insert into business_analytic.report.orenda values(2026, 1, '2027104900', 'СофБорщагівка,Фора-512 Амосова,67/128', NULL, -34285.71, 'Orenda');</v>
      </c>
      <c r="L248" t="str">
        <f t="shared" si="11"/>
        <v>insert into business_analytic.report.orenda values(2026, 2, '2027104900', 'СофБорщагівка,Фора-512 Амосова,67/128', NULL, -34285.71, 'Orenda');</v>
      </c>
      <c r="M248" t="str">
        <f t="shared" si="12"/>
        <v>insert into business_analytic.report.orenda values(2026, 3, '2027104900', 'СофБорщагівка,Фора-512 Амосова,67/128', NULL, -34285.71, 'Orenda');</v>
      </c>
      <c r="N248" t="str">
        <f t="shared" si="13"/>
        <v>insert into business_analytic.report.orenda values(2026, 4, '2027104900', 'СофБорщагівка,Фора-512 Амосова,67/128', NULL, -34285.71, 'Orenda');</v>
      </c>
      <c r="O248" t="str">
        <f t="shared" si="13"/>
        <v>insert into business_analytic.report.orenda values(2026, 5, '2027104900', 'СофБорщагівка,Фора-512 Амосова,67/128', NULL, -34285.71, 'Orenda');</v>
      </c>
    </row>
    <row r="249" spans="1:15" x14ac:dyDescent="0.3">
      <c r="A249" t="s">
        <v>95</v>
      </c>
      <c r="B249" t="s">
        <v>643</v>
      </c>
      <c r="C249" t="s">
        <v>916</v>
      </c>
      <c r="D249" s="2">
        <v>-90000</v>
      </c>
      <c r="E249" s="2">
        <v>-72000</v>
      </c>
      <c r="F249" s="2">
        <v>-72000</v>
      </c>
      <c r="G249" s="2">
        <v>-90000</v>
      </c>
      <c r="H249" s="2">
        <v>-90000</v>
      </c>
      <c r="I249" s="2"/>
      <c r="J249" s="2">
        <v>-414000</v>
      </c>
      <c r="K249" t="str">
        <f t="shared" si="11"/>
        <v>insert into business_analytic.report.orenda values(2026, 1, '2027105000', 'Київ,Фора-556 Княжий Затон,2/30', NULL, -90000, 'Orenda');</v>
      </c>
      <c r="L249" t="str">
        <f t="shared" si="11"/>
        <v>insert into business_analytic.report.orenda values(2026, 2, '2027105000', 'Київ,Фора-556 Княжий Затон,2/30', NULL, -72000, 'Orenda');</v>
      </c>
      <c r="M249" t="str">
        <f t="shared" si="12"/>
        <v>insert into business_analytic.report.orenda values(2026, 3, '2027105000', 'Київ,Фора-556 Княжий Затон,2/30', NULL, -72000, 'Orenda');</v>
      </c>
      <c r="N249" t="str">
        <f t="shared" si="13"/>
        <v>insert into business_analytic.report.orenda values(2026, 4, '2027105000', 'Київ,Фора-556 Княжий Затон,2/30', NULL, -90000, 'Orenda');</v>
      </c>
      <c r="O249" t="str">
        <f t="shared" si="13"/>
        <v>insert into business_analytic.report.orenda values(2026, 5, '2027105000', 'Київ,Фора-556 Княжий Затон,2/30', NULL, -90000, 'Orenda');</v>
      </c>
    </row>
    <row r="250" spans="1:15" x14ac:dyDescent="0.3">
      <c r="A250" t="s">
        <v>96</v>
      </c>
      <c r="B250" t="s">
        <v>644</v>
      </c>
      <c r="C250" t="s">
        <v>917</v>
      </c>
      <c r="D250" s="2">
        <v>-84600</v>
      </c>
      <c r="E250" s="2">
        <v>-84600</v>
      </c>
      <c r="F250" s="2">
        <v>-84600</v>
      </c>
      <c r="G250" s="2">
        <v>-84600</v>
      </c>
      <c r="H250" s="2">
        <v>-84600</v>
      </c>
      <c r="I250" s="2"/>
      <c r="J250" s="2">
        <v>-423000</v>
      </c>
      <c r="K250" t="str">
        <f t="shared" si="11"/>
        <v>insert into business_analytic.report.orenda values(2026, 1, '2027105100', 'Київ,Фора-557 Ново-Дарницька,27', NULL, -84600, 'Orenda');</v>
      </c>
      <c r="L250" t="str">
        <f t="shared" si="11"/>
        <v>insert into business_analytic.report.orenda values(2026, 2, '2027105100', 'Київ,Фора-557 Ново-Дарницька,27', NULL, -84600, 'Orenda');</v>
      </c>
      <c r="M250" t="str">
        <f t="shared" si="12"/>
        <v>insert into business_analytic.report.orenda values(2026, 3, '2027105100', 'Київ,Фора-557 Ново-Дарницька,27', NULL, -84600, 'Orenda');</v>
      </c>
      <c r="N250" t="str">
        <f t="shared" si="13"/>
        <v>insert into business_analytic.report.orenda values(2026, 4, '2027105100', 'Київ,Фора-557 Ново-Дарницька,27', NULL, -84600, 'Orenda');</v>
      </c>
      <c r="O250" t="str">
        <f t="shared" si="13"/>
        <v>insert into business_analytic.report.orenda values(2026, 5, '2027105100', 'Київ,Фора-557 Ново-Дарницька,27', NULL, -84600, 'Orenda');</v>
      </c>
    </row>
    <row r="251" spans="1:15" x14ac:dyDescent="0.3">
      <c r="A251" t="s">
        <v>97</v>
      </c>
      <c r="B251" t="s">
        <v>645</v>
      </c>
      <c r="C251" t="s">
        <v>918</v>
      </c>
      <c r="D251" s="2">
        <v>-54000</v>
      </c>
      <c r="E251" s="2">
        <v>-40000</v>
      </c>
      <c r="F251" s="2">
        <v>-59682.079999999994</v>
      </c>
      <c r="G251" s="2">
        <v>-57535.079999999994</v>
      </c>
      <c r="H251" s="2">
        <v>-63691.729999999996</v>
      </c>
      <c r="I251" s="2">
        <v>-13828.24</v>
      </c>
      <c r="J251" s="2">
        <v>-288737.13</v>
      </c>
      <c r="K251" t="str">
        <f t="shared" si="11"/>
        <v>insert into business_analytic.report.orenda values(2026, 1, '2027105200', 'Київ,Фора-559 Заболотного,1А', NULL, -54000, 'Orenda');</v>
      </c>
      <c r="L251" t="str">
        <f t="shared" si="11"/>
        <v>insert into business_analytic.report.orenda values(2026, 2, '2027105200', 'Київ,Фора-559 Заболотного,1А', NULL, -40000, 'Orenda');</v>
      </c>
      <c r="M251" t="str">
        <f t="shared" si="12"/>
        <v>insert into business_analytic.report.orenda values(2026, 3, '2027105200', 'Київ,Фора-559 Заболотного,1А', NULL, -59682.08, 'Orenda');</v>
      </c>
      <c r="N251" t="str">
        <f t="shared" si="13"/>
        <v>insert into business_analytic.report.orenda values(2026, 4, '2027105200', 'Київ,Фора-559 Заболотного,1А', NULL, -57535.08, 'Orenda');</v>
      </c>
      <c r="O251" t="str">
        <f t="shared" si="13"/>
        <v>insert into business_analytic.report.orenda values(2026, 5, '2027105200', 'Київ,Фора-559 Заболотного,1А', NULL, -63691.73, 'Orenda');</v>
      </c>
    </row>
    <row r="252" spans="1:15" x14ac:dyDescent="0.3">
      <c r="A252" t="s">
        <v>270</v>
      </c>
      <c r="B252" t="s">
        <v>646</v>
      </c>
      <c r="C252" t="s">
        <v>919</v>
      </c>
      <c r="D252" s="2">
        <v>-60000</v>
      </c>
      <c r="E252" s="2">
        <v>-45000</v>
      </c>
      <c r="F252" s="2">
        <v>-60000</v>
      </c>
      <c r="G252" s="2">
        <v>-60000</v>
      </c>
      <c r="H252" s="2">
        <v>-60000</v>
      </c>
      <c r="I252" s="2"/>
      <c r="J252" s="2">
        <v>-285000</v>
      </c>
      <c r="K252" t="str">
        <f t="shared" si="11"/>
        <v>insert into business_analytic.report.orenda values(2026, 1, '2027105300', 'Київ,Фора-562 ФП Повітряних Сил,56Б', NULL, -60000, 'Orenda');</v>
      </c>
      <c r="L252" t="str">
        <f t="shared" si="11"/>
        <v>insert into business_analytic.report.orenda values(2026, 2, '2027105300', 'Київ,Фора-562 ФП Повітряних Сил,56Б', NULL, -45000, 'Orenda');</v>
      </c>
      <c r="M252" t="str">
        <f t="shared" si="12"/>
        <v>insert into business_analytic.report.orenda values(2026, 3, '2027105300', 'Київ,Фора-562 ФП Повітряних Сил,56Б', NULL, -60000, 'Orenda');</v>
      </c>
      <c r="N252" t="str">
        <f t="shared" si="13"/>
        <v>insert into business_analytic.report.orenda values(2026, 4, '2027105300', 'Київ,Фора-562 ФП Повітряних Сил,56Б', NULL, -60000, 'Orenda');</v>
      </c>
      <c r="O252" t="str">
        <f t="shared" si="13"/>
        <v>insert into business_analytic.report.orenda values(2026, 5, '2027105300', 'Київ,Фора-562 ФП Повітряних Сил,56Б', NULL, -60000, 'Orenda');</v>
      </c>
    </row>
    <row r="253" spans="1:15" x14ac:dyDescent="0.3">
      <c r="A253" t="s">
        <v>271</v>
      </c>
      <c r="B253" t="s">
        <v>647</v>
      </c>
      <c r="C253" t="s">
        <v>920</v>
      </c>
      <c r="D253" s="2">
        <v>-60000</v>
      </c>
      <c r="E253" s="2">
        <v>-60000</v>
      </c>
      <c r="F253" s="2">
        <v>-60000</v>
      </c>
      <c r="G253" s="2">
        <v>-60000</v>
      </c>
      <c r="H253" s="2">
        <v>-60000</v>
      </c>
      <c r="I253" s="2"/>
      <c r="J253" s="2">
        <v>-300000</v>
      </c>
      <c r="K253" t="str">
        <f t="shared" si="11"/>
        <v>insert into business_analytic.report.orenda values(2026, 1, '2027105400', 'Київ,Фора-573 Трускавецька,8', NULL, -60000, 'Orenda');</v>
      </c>
      <c r="L253" t="str">
        <f t="shared" si="11"/>
        <v>insert into business_analytic.report.orenda values(2026, 2, '2027105400', 'Київ,Фора-573 Трускавецька,8', NULL, -60000, 'Orenda');</v>
      </c>
      <c r="M253" t="str">
        <f t="shared" si="12"/>
        <v>insert into business_analytic.report.orenda values(2026, 3, '2027105400', 'Київ,Фора-573 Трускавецька,8', NULL, -60000, 'Orenda');</v>
      </c>
      <c r="N253" t="str">
        <f t="shared" si="13"/>
        <v>insert into business_analytic.report.orenda values(2026, 4, '2027105400', 'Київ,Фора-573 Трускавецька,8', NULL, -60000, 'Orenda');</v>
      </c>
      <c r="O253" t="str">
        <f t="shared" si="13"/>
        <v>insert into business_analytic.report.orenda values(2026, 5, '2027105400', 'Київ,Фора-573 Трускавецька,8', NULL, -60000, 'Orenda');</v>
      </c>
    </row>
    <row r="254" spans="1:15" x14ac:dyDescent="0.3">
      <c r="A254" t="s">
        <v>272</v>
      </c>
      <c r="B254" t="s">
        <v>648</v>
      </c>
      <c r="C254" t="s">
        <v>844</v>
      </c>
      <c r="D254" s="2">
        <v>-14109.67</v>
      </c>
      <c r="E254" s="2">
        <v>-19000</v>
      </c>
      <c r="F254" s="2">
        <v>-19000</v>
      </c>
      <c r="G254" s="2">
        <v>-19000</v>
      </c>
      <c r="H254" s="2">
        <v>-19000</v>
      </c>
      <c r="I254" s="2"/>
      <c r="J254" s="2">
        <v>-90109.67</v>
      </c>
      <c r="K254" t="str">
        <f t="shared" si="11"/>
        <v>insert into business_analytic.report.orenda values(2026, 1, '2027105500', 'СофБорщагівка,Фора-578 Чубинського,8А', NULL, -14109.67, 'Orenda');</v>
      </c>
      <c r="L254" t="str">
        <f t="shared" si="11"/>
        <v>insert into business_analytic.report.orenda values(2026, 2, '2027105500', 'СофБорщагівка,Фора-578 Чубинського,8А', NULL, -19000, 'Orenda');</v>
      </c>
      <c r="M254" t="str">
        <f t="shared" si="12"/>
        <v>insert into business_analytic.report.orenda values(2026, 3, '2027105500', 'СофБорщагівка,Фора-578 Чубинського,8А', NULL, -19000, 'Orenda');</v>
      </c>
      <c r="N254" t="str">
        <f t="shared" si="13"/>
        <v>insert into business_analytic.report.orenda values(2026, 4, '2027105500', 'СофБорщагівка,Фора-578 Чубинського,8А', NULL, -19000, 'Orenda');</v>
      </c>
      <c r="O254" t="str">
        <f t="shared" si="13"/>
        <v>insert into business_analytic.report.orenda values(2026, 5, '2027105500', 'СофБорщагівка,Фора-578 Чубинського,8А', NULL, -19000, 'Orenda');</v>
      </c>
    </row>
    <row r="255" spans="1:15" x14ac:dyDescent="0.3">
      <c r="A255" t="s">
        <v>273</v>
      </c>
      <c r="B255" t="s">
        <v>649</v>
      </c>
      <c r="C255" t="s">
        <v>921</v>
      </c>
      <c r="D255" s="2">
        <v>-34500</v>
      </c>
      <c r="E255" s="2">
        <v>-34500</v>
      </c>
      <c r="F255" s="2">
        <v>-34500</v>
      </c>
      <c r="G255" s="2">
        <v>-34500</v>
      </c>
      <c r="H255" s="2">
        <v>-34500</v>
      </c>
      <c r="I255" s="2">
        <v>-7935</v>
      </c>
      <c r="J255" s="2">
        <v>-180435</v>
      </c>
      <c r="K255" t="str">
        <f t="shared" si="11"/>
        <v>insert into business_analytic.report.orenda values(2026, 1, '2027108600', 'Гатне,Фора-546 Приозерний,6', NULL, -34500, 'Orenda');</v>
      </c>
      <c r="L255" t="str">
        <f t="shared" si="11"/>
        <v>insert into business_analytic.report.orenda values(2026, 2, '2027108600', 'Гатне,Фора-546 Приозерний,6', NULL, -34500, 'Orenda');</v>
      </c>
      <c r="M255" t="str">
        <f t="shared" si="12"/>
        <v>insert into business_analytic.report.orenda values(2026, 3, '2027108600', 'Гатне,Фора-546 Приозерний,6', NULL, -34500, 'Orenda');</v>
      </c>
      <c r="N255" t="str">
        <f t="shared" si="13"/>
        <v>insert into business_analytic.report.orenda values(2026, 4, '2027108600', 'Гатне,Фора-546 Приозерний,6', NULL, -34500, 'Orenda');</v>
      </c>
      <c r="O255" t="str">
        <f t="shared" si="13"/>
        <v>insert into business_analytic.report.orenda values(2026, 5, '2027108600', 'Гатне,Фора-546 Приозерний,6', NULL, -34500, 'Orenda');</v>
      </c>
    </row>
    <row r="256" spans="1:15" x14ac:dyDescent="0.3">
      <c r="A256" t="s">
        <v>274</v>
      </c>
      <c r="B256" t="s">
        <v>650</v>
      </c>
      <c r="C256" t="s">
        <v>916</v>
      </c>
      <c r="D256" s="2">
        <v>-60000</v>
      </c>
      <c r="E256" s="2">
        <v>-50000</v>
      </c>
      <c r="F256" s="2">
        <v>-50000</v>
      </c>
      <c r="G256" s="2">
        <v>-60000</v>
      </c>
      <c r="H256" s="2">
        <v>-60000</v>
      </c>
      <c r="I256" s="2"/>
      <c r="J256" s="2">
        <v>-280000</v>
      </c>
      <c r="K256" t="str">
        <f t="shared" si="11"/>
        <v>insert into business_analytic.report.orenda values(2026, 1, '2027108700', 'Київ,Фора-554 Балтійський,3А', NULL, -60000, 'Orenda');</v>
      </c>
      <c r="L256" t="str">
        <f t="shared" si="11"/>
        <v>insert into business_analytic.report.orenda values(2026, 2, '2027108700', 'Київ,Фора-554 Балтійський,3А', NULL, -50000, 'Orenda');</v>
      </c>
      <c r="M256" t="str">
        <f>"insert into business_analytic.report.orenda values("&amp;2026&amp;", "&amp;F$7&amp;", '"&amp;$A256&amp;"', '"&amp;$B256&amp;"', "&amp;"NULL"&amp;", "&amp;IF(F256="",0,F256)&amp;", "&amp;"'Orenda'"&amp;");"</f>
        <v>insert into business_analytic.report.orenda values(2026, 3, '2027108700', 'Київ,Фора-554 Балтійський,3А', NULL, -50000, 'Orenda');</v>
      </c>
      <c r="N256" t="str">
        <f>"insert into business_analytic.report.orenda values("&amp;2026&amp;", "&amp;G$7&amp;", '"&amp;$A256&amp;"', '"&amp;$B256&amp;"', "&amp;"NULL"&amp;", "&amp;IF(G256="",0,G256)&amp;", "&amp;"'Orenda'"&amp;");"</f>
        <v>insert into business_analytic.report.orenda values(2026, 4, '2027108700', 'Київ,Фора-554 Балтійський,3А', NULL, -60000, 'Orenda');</v>
      </c>
      <c r="O256" t="str">
        <f t="shared" ref="O256:O257" si="14">"insert into business_analytic.report.orenda values("&amp;2026&amp;", "&amp;H$7&amp;", '"&amp;$A256&amp;"', '"&amp;$B256&amp;"', "&amp;"NULL"&amp;", "&amp;IF(H256="",0,H256)&amp;", "&amp;"'Orenda'"&amp;");"</f>
        <v>insert into business_analytic.report.orenda values(2026, 5, '2027108700', 'Київ,Фора-554 Балтійський,3А', NULL, -60000, 'Orenda');</v>
      </c>
    </row>
    <row r="257" spans="1:10" x14ac:dyDescent="0.3">
      <c r="A257" t="s">
        <v>98</v>
      </c>
      <c r="D257" s="2">
        <v>-86242885.920000002</v>
      </c>
      <c r="E257" s="2">
        <v>-82452142.449999988</v>
      </c>
      <c r="F257" s="2">
        <v>-89064986.210000008</v>
      </c>
      <c r="G257" s="2">
        <v>-90268225.090000004</v>
      </c>
      <c r="H257" s="2">
        <v>-94445416.039999992</v>
      </c>
      <c r="I257" s="2">
        <v>-6588324.4400000004</v>
      </c>
      <c r="J257" s="2">
        <v>-449061980.15000004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37D7-5C60-4A8E-9621-2F7010CC64DE}">
  <dimension ref="A1:G14"/>
  <sheetViews>
    <sheetView workbookViewId="0">
      <selection sqref="A1:H17"/>
    </sheetView>
  </sheetViews>
  <sheetFormatPr defaultRowHeight="14.4" x14ac:dyDescent="0.3"/>
  <sheetData>
    <row r="1" spans="1:7" x14ac:dyDescent="0.3">
      <c r="A1" t="s">
        <v>1201</v>
      </c>
    </row>
    <row r="2" spans="1:7" x14ac:dyDescent="0.3">
      <c r="A2" t="s">
        <v>1205</v>
      </c>
    </row>
    <row r="3" spans="1:7" x14ac:dyDescent="0.3">
      <c r="A3" t="s">
        <v>1202</v>
      </c>
    </row>
    <row r="4" spans="1:7" x14ac:dyDescent="0.3">
      <c r="A4" t="s">
        <v>1203</v>
      </c>
    </row>
    <row r="6" spans="1:7" x14ac:dyDescent="0.3">
      <c r="A6" t="s">
        <v>1204</v>
      </c>
    </row>
    <row r="7" spans="1:7" x14ac:dyDescent="0.3">
      <c r="A7" t="s">
        <v>1205</v>
      </c>
    </row>
    <row r="8" spans="1:7" x14ac:dyDescent="0.3">
      <c r="A8" t="s">
        <v>1202</v>
      </c>
    </row>
    <row r="9" spans="1:7" x14ac:dyDescent="0.3">
      <c r="B9" s="4"/>
      <c r="C9" s="4"/>
      <c r="D9" s="4"/>
      <c r="E9" s="4"/>
      <c r="F9" s="4"/>
      <c r="G9" s="4"/>
    </row>
    <row r="10" spans="1:7" x14ac:dyDescent="0.3">
      <c r="A10" s="3" t="s">
        <v>1206</v>
      </c>
      <c r="B10" s="3"/>
      <c r="C10" s="3"/>
      <c r="D10" s="3"/>
      <c r="E10" s="3"/>
      <c r="F10" s="3"/>
      <c r="G10" s="3"/>
    </row>
    <row r="11" spans="1:7" x14ac:dyDescent="0.3">
      <c r="A11" s="3" t="s">
        <v>1207</v>
      </c>
      <c r="B11" s="3"/>
      <c r="C11" s="3"/>
      <c r="D11" s="3"/>
      <c r="E11" s="3"/>
      <c r="F11" s="3"/>
      <c r="G11" s="3"/>
    </row>
    <row r="12" spans="1:7" x14ac:dyDescent="0.3">
      <c r="A12" s="3" t="s">
        <v>1208</v>
      </c>
      <c r="B12" s="3"/>
      <c r="C12" s="3"/>
      <c r="D12" s="3"/>
      <c r="E12" s="3"/>
      <c r="F12" s="3"/>
      <c r="G12" s="3"/>
    </row>
    <row r="13" spans="1:7" x14ac:dyDescent="0.3">
      <c r="A13" s="3" t="s">
        <v>1209</v>
      </c>
      <c r="B13" s="3"/>
      <c r="C13" s="3"/>
      <c r="D13" s="3"/>
      <c r="E13" s="3"/>
      <c r="F13" s="3"/>
      <c r="G13" s="3"/>
    </row>
    <row r="14" spans="1:7" x14ac:dyDescent="0.3">
      <c r="A14" s="3" t="s">
        <v>1210</v>
      </c>
      <c r="B14" s="3"/>
      <c r="C14" s="3"/>
      <c r="D14" s="3"/>
      <c r="E14" s="3"/>
      <c r="F14" s="3"/>
      <c r="G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DataModel_TO</vt:lpstr>
      <vt:lpstr>DataModel_Orenda</vt:lpstr>
      <vt:lpstr>update filid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Суховій Ігор Юрійович</cp:lastModifiedBy>
  <dcterms:modified xsi:type="dcterms:W3CDTF">2026-07-13T13:30:57Z</dcterms:modified>
</cp:coreProperties>
</file>